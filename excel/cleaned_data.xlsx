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79\EXCELCNV\01d5e43d-1a86-4f03-a66d-c2b32d2ba1a6\"/>
    </mc:Choice>
  </mc:AlternateContent>
  <xr:revisionPtr revIDLastSave="0" documentId="8_{BB45DD83-C791-40C6-ACED-02033E2C3115}" xr6:coauthVersionLast="47" xr6:coauthVersionMax="47" xr10:uidLastSave="{00000000-0000-0000-0000-000000000000}"/>
  <bookViews>
    <workbookView xWindow="-60" yWindow="-60" windowWidth="15480" windowHeight="11640" xr2:uid="{0F2AFB8C-55A2-49E6-858A-7AE64BE2332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L3" i="1"/>
  <c r="L6" i="1"/>
  <c r="L5" i="1"/>
  <c r="L2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</calcChain>
</file>

<file path=xl/sharedStrings.xml><?xml version="1.0" encoding="utf-8"?>
<sst xmlns="http://schemas.openxmlformats.org/spreadsheetml/2006/main" count="389" uniqueCount="90">
  <si>
    <t>campaign_id</t>
  </si>
  <si>
    <t>campaign_name</t>
  </si>
  <si>
    <t>channel</t>
  </si>
  <si>
    <t>date</t>
  </si>
  <si>
    <t>impressions</t>
  </si>
  <si>
    <t>clicks</t>
  </si>
  <si>
    <t>conversions</t>
  </si>
  <si>
    <t>cost</t>
  </si>
  <si>
    <t>revenue</t>
  </si>
  <si>
    <t>currency</t>
  </si>
  <si>
    <t>channel_type</t>
  </si>
  <si>
    <t>roi</t>
  </si>
  <si>
    <t>roas</t>
  </si>
  <si>
    <t>cpa</t>
  </si>
  <si>
    <t>cpc</t>
  </si>
  <si>
    <t>ctr</t>
  </si>
  <si>
    <t>conversion_rate2</t>
  </si>
  <si>
    <t>CMP-1001</t>
  </si>
  <si>
    <t>Spring Sale 2024</t>
  </si>
  <si>
    <t>Email</t>
  </si>
  <si>
    <t>USD</t>
  </si>
  <si>
    <t>CMP-1002</t>
  </si>
  <si>
    <t>Social Buzz Launch</t>
  </si>
  <si>
    <t>Social Media</t>
  </si>
  <si>
    <t>CMP-1003</t>
  </si>
  <si>
    <t>Brand Awareness Q1</t>
  </si>
  <si>
    <t>Display Ads</t>
  </si>
  <si>
    <t>CMP-1004</t>
  </si>
  <si>
    <t>Affiliate Growth 2024</t>
  </si>
  <si>
    <t>Affiliate</t>
  </si>
  <si>
    <t>CMP-1005</t>
  </si>
  <si>
    <t>Direct Entry Promo</t>
  </si>
  <si>
    <t>Direct</t>
  </si>
  <si>
    <t>Paid Search</t>
  </si>
  <si>
    <t>Organic Search</t>
  </si>
  <si>
    <t>Other</t>
  </si>
  <si>
    <t>CMP-1006</t>
  </si>
  <si>
    <t>Flash Deals March</t>
  </si>
  <si>
    <t>CMP-1007</t>
  </si>
  <si>
    <t>Loyalty Booster</t>
  </si>
  <si>
    <t>CMP-1008</t>
  </si>
  <si>
    <t>Display Domination</t>
  </si>
  <si>
    <t>CMP-1009</t>
  </si>
  <si>
    <t>Affiliate Spring Push</t>
  </si>
  <si>
    <t>CMP-1010</t>
  </si>
  <si>
    <t>Direct Shop Special</t>
  </si>
  <si>
    <t>CMP-1011</t>
  </si>
  <si>
    <t>Affiliate Max 2024</t>
  </si>
  <si>
    <t>CMP-1012</t>
  </si>
  <si>
    <t>Direct Entry Rewards</t>
  </si>
  <si>
    <t>CMP-1013</t>
  </si>
  <si>
    <t>Email Surge April</t>
  </si>
  <si>
    <t>CMP-1014</t>
  </si>
  <si>
    <t>Spring Social Blast</t>
  </si>
  <si>
    <t>CMP-1015</t>
  </si>
  <si>
    <t>Search Lift Q2</t>
  </si>
  <si>
    <t>CMP-1016</t>
  </si>
  <si>
    <t>Organic Outreach</t>
  </si>
  <si>
    <t>CMP-1017</t>
  </si>
  <si>
    <t>Display Impact</t>
  </si>
  <si>
    <t>CMP-1018</t>
  </si>
  <si>
    <t>Affiliate Leads Q2</t>
  </si>
  <si>
    <t>CMP-1019</t>
  </si>
  <si>
    <t>Direct Bonus April</t>
  </si>
  <si>
    <t>CMP-1020</t>
  </si>
  <si>
    <t>Direct Route Q2</t>
  </si>
  <si>
    <t>CMP202404</t>
  </si>
  <si>
    <t>Spring Surge 2024</t>
  </si>
  <si>
    <t>CMP202412</t>
  </si>
  <si>
    <t>Holiday Blast 2024</t>
  </si>
  <si>
    <t>CMP202419</t>
  </si>
  <si>
    <t>Back to School Promo</t>
  </si>
  <si>
    <t>CMP202405</t>
  </si>
  <si>
    <t>Q2 Product Launch</t>
  </si>
  <si>
    <t>CMP202401</t>
  </si>
  <si>
    <t>Brand Awareness</t>
  </si>
  <si>
    <t>CMP202410</t>
  </si>
  <si>
    <t>Summer Savings</t>
  </si>
  <si>
    <t>CMP202413</t>
  </si>
  <si>
    <t>Flash Sale</t>
  </si>
  <si>
    <t>CMP202414</t>
  </si>
  <si>
    <t>VIP Launch</t>
  </si>
  <si>
    <t>CMP202406</t>
  </si>
  <si>
    <t>Early Bird Discount</t>
  </si>
  <si>
    <t>CMP202407</t>
  </si>
  <si>
    <t>Local Community Drive</t>
  </si>
  <si>
    <t>CMP202408</t>
  </si>
  <si>
    <t>Winter Clearance</t>
  </si>
  <si>
    <t>CMP202409</t>
  </si>
  <si>
    <t>Refer a 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</si>
</sst>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7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167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4" formatCode="0.00%"/>
    </dxf>
    <dxf>
      <numFmt numFmtId="14" formatCode="0.00%"/>
    </dxf>
    <dxf>
      <numFmt numFmtId="167" formatCode="&quot;$&quot;#,##0.00"/>
    </dxf>
    <dxf>
      <numFmt numFmtId="167" formatCode="&quot;$&quot;#,##0.00"/>
    </dxf>
    <dxf>
      <numFmt numFmtId="14" formatCode="0.00%"/>
    </dxf>
    <dxf>
      <numFmt numFmtId="14" formatCode="0.00%"/>
    </dxf>
    <dxf>
      <numFmt numFmtId="0" formatCode="General"/>
    </dxf>
    <dxf>
      <numFmt numFmtId="167" formatCode="&quot;$&quot;#,##0.00"/>
    </dxf>
    <dxf>
      <numFmt numFmtId="167" formatCode="&quot;$&quot;#,##0.00"/>
    </dxf>
    <dxf>
      <numFmt numFmtId="165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6739B-E815-4CCD-BD03-578315F88C81}" name="Tabela1" displayName="Tabela1" ref="A1:Q94" totalsRowShown="0">
  <autoFilter ref="A1:Q94" xr:uid="{72E6739B-E815-4CCD-BD03-578315F88C81}"/>
  <tableColumns count="17">
    <tableColumn id="1" xr3:uid="{5B5102EC-D6A0-46D7-9B29-BDD2061D6A4C}" name="campaign_id"/>
    <tableColumn id="2" xr3:uid="{0176A214-F954-4EA2-90AA-5A88F9A00F00}" name="campaign_name"/>
    <tableColumn id="3" xr3:uid="{86E6C4CF-F023-4AB6-A9C4-2E0B648D721A}" name="channel"/>
    <tableColumn id="4" xr3:uid="{28E5F4F5-6506-46C9-9C0C-A3F881E9877F}" name="date" dataDxfId="9"/>
    <tableColumn id="5" xr3:uid="{BA9C1F00-726C-4514-90B7-AC6F1D35E5E6}" name="impressions"/>
    <tableColumn id="6" xr3:uid="{9010D101-8B0C-4FEF-947E-928A05A3126F}" name="clicks"/>
    <tableColumn id="7" xr3:uid="{AB5FA943-18E2-49E8-8897-37C64F821247}" name="conversions"/>
    <tableColumn id="9" xr3:uid="{40E1E9A4-DC9A-4547-9813-1492048E20C9}" name="cost" dataDxfId="8"/>
    <tableColumn id="10" xr3:uid="{34650EA5-CA01-4E82-A556-EFA263133FE5}" name="revenue" dataDxfId="7"/>
    <tableColumn id="12" xr3:uid="{4802A7B3-7F03-4AD3-B649-136B6E1D57E0}" name="currency"/>
    <tableColumn id="19" xr3:uid="{C260757E-2D07-481C-B265-60ED328EDEDC}" name="channel_type" dataDxfId="6">
      <calculatedColumnFormula>IF(OR(H2=0, H2=""), "ORGANIC", "PAID")</calculatedColumnFormula>
    </tableColumn>
    <tableColumn id="13" xr3:uid="{54BAEEEB-5A68-49C5-AEA6-A4CA2930DF92}" name="roi" dataDxfId="5">
      <calculatedColumnFormula>IF(OR(H2=0, H2=""), "", (I2-H2)/H2)</calculatedColumnFormula>
    </tableColumn>
    <tableColumn id="14" xr3:uid="{29A99367-5903-4DE2-94D9-7BD6916DEF65}" name="roas" dataDxfId="4">
      <calculatedColumnFormula>IF(OR(H2=0, H2=""), "", (I2/H2))</calculatedColumnFormula>
    </tableColumn>
    <tableColumn id="15" xr3:uid="{95F3D189-0062-4ED9-9320-6F1E35B3C6C7}" name="cpa" dataDxfId="3">
      <calculatedColumnFormula>IF(OR(H2=0, H2=""), "", (H2/G2))</calculatedColumnFormula>
    </tableColumn>
    <tableColumn id="16" xr3:uid="{AF99D7AD-2AEC-4830-87AA-1097EE96527F}" name="cpc" dataDxfId="2">
      <calculatedColumnFormula>IF(OR(H2=0, H2=""), "", (H2/F2))</calculatedColumnFormula>
    </tableColumn>
    <tableColumn id="17" xr3:uid="{DD9C6597-9998-4D5D-B3A6-90DD2013A08D}" name="ctr" dataDxfId="1">
      <calculatedColumnFormula>(F2/E2)</calculatedColumnFormula>
    </tableColumn>
    <tableColumn id="18" xr3:uid="{F76FB05F-1D2B-44E4-927F-3E7FF4812BE6}" name="conversion_rate2" dataDxfId="0">
      <calculatedColumnFormula>(G2/F2)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0FE4-1767-458A-87E6-103854D5B382}">
  <dimension ref="A1:Q99"/>
  <sheetViews>
    <sheetView tabSelected="1" workbookViewId="0">
      <selection activeCell="C1" sqref="C1"/>
    </sheetView>
  </sheetViews>
  <sheetFormatPr defaultColWidth="0" defaultRowHeight="15" customHeight="1" zeroHeight="1"/>
  <cols>
    <col min="1" max="1" width="14.42578125" bestFit="1" customWidth="1"/>
    <col min="2" max="2" width="21" bestFit="1" customWidth="1"/>
    <col min="3" max="3" width="13.85546875" bestFit="1" customWidth="1"/>
    <col min="4" max="4" width="11.140625" style="2" bestFit="1" customWidth="1"/>
    <col min="5" max="5" width="13.85546875" bestFit="1" customWidth="1"/>
    <col min="6" max="6" width="9.140625" customWidth="1"/>
    <col min="7" max="7" width="13.7109375" bestFit="1" customWidth="1"/>
    <col min="8" max="8" width="10.5703125" style="3" bestFit="1" customWidth="1"/>
    <col min="9" max="9" width="11.42578125" style="3" bestFit="1" customWidth="1"/>
    <col min="10" max="10" width="10.85546875" bestFit="1" customWidth="1"/>
    <col min="11" max="11" width="13.140625" bestFit="1" customWidth="1"/>
    <col min="12" max="13" width="9.140625" style="4" customWidth="1"/>
    <col min="14" max="15" width="9.140625" style="3" customWidth="1"/>
    <col min="16" max="16" width="12.28515625" style="4" bestFit="1" customWidth="1"/>
    <col min="17" max="17" width="15.5703125" style="4" customWidth="1"/>
  </cols>
  <sheetData>
    <row r="1" spans="1:17" ht="30.7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3" t="s">
        <v>7</v>
      </c>
      <c r="I1" s="3" t="s">
        <v>8</v>
      </c>
      <c r="J1" t="s">
        <v>9</v>
      </c>
      <c r="K1" s="1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5" t="s">
        <v>16</v>
      </c>
    </row>
    <row r="2" spans="1:17" ht="15.75" customHeight="1">
      <c r="A2" t="s">
        <v>17</v>
      </c>
      <c r="B2" t="s">
        <v>18</v>
      </c>
      <c r="C2" t="s">
        <v>19</v>
      </c>
      <c r="D2" s="2">
        <v>45352</v>
      </c>
      <c r="E2">
        <v>5500</v>
      </c>
      <c r="F2">
        <v>480</v>
      </c>
      <c r="G2">
        <v>60</v>
      </c>
      <c r="H2" s="3">
        <v>120</v>
      </c>
      <c r="I2" s="3">
        <v>900</v>
      </c>
      <c r="J2" t="s">
        <v>20</v>
      </c>
      <c r="K2" t="str">
        <f t="shared" ref="K2:K33" si="0">IF(OR(H2=0, H2=""), "ORGANIC", "PAID")</f>
        <v>PAID</v>
      </c>
      <c r="L2" s="5">
        <f>IF(OR(H2=0, H2=""), "", (I2-H2)/H2)</f>
        <v>6.5</v>
      </c>
      <c r="M2" s="4">
        <f t="shared" ref="M2:M33" si="1">IF(OR(H2=0, H2=""), "", (I2/H2))</f>
        <v>7.5</v>
      </c>
      <c r="N2" s="3">
        <f>IF(OR(H2=0, H2=""), "", (H2/G2))</f>
        <v>2</v>
      </c>
      <c r="O2" s="6">
        <f>IF(OR(H2=0, H2=""), "", (H2/F2))</f>
        <v>0.25</v>
      </c>
      <c r="P2" s="4">
        <f t="shared" ref="P2:P33" si="2">(F2/E2)</f>
        <v>8.727272727272728E-2</v>
      </c>
      <c r="Q2" s="4">
        <f>(G2/F2)</f>
        <v>0.125</v>
      </c>
    </row>
    <row r="3" spans="1:17">
      <c r="A3" t="s">
        <v>21</v>
      </c>
      <c r="B3" t="s">
        <v>22</v>
      </c>
      <c r="C3" t="s">
        <v>23</v>
      </c>
      <c r="D3" s="2">
        <v>45352</v>
      </c>
      <c r="E3">
        <v>8000</v>
      </c>
      <c r="F3">
        <v>720</v>
      </c>
      <c r="G3">
        <v>90</v>
      </c>
      <c r="H3" s="3">
        <v>310</v>
      </c>
      <c r="I3" s="3">
        <v>1500</v>
      </c>
      <c r="J3" t="s">
        <v>20</v>
      </c>
      <c r="K3" t="str">
        <f t="shared" si="0"/>
        <v>PAID</v>
      </c>
      <c r="L3" s="4">
        <f>IF(OR(H3=0, H3=""), "", (I3-H3)/H3)</f>
        <v>3.838709677419355</v>
      </c>
      <c r="M3" s="4">
        <f t="shared" si="1"/>
        <v>4.838709677419355</v>
      </c>
      <c r="N3" s="3">
        <f>IF(OR(H3=0, H3=""), "", (H3/G3))</f>
        <v>3.4444444444444446</v>
      </c>
      <c r="O3" s="3">
        <f>IF(OR(H3=0, H3=""), "", (H3/F3))</f>
        <v>0.43055555555555558</v>
      </c>
      <c r="P3" s="4">
        <f t="shared" si="2"/>
        <v>0.09</v>
      </c>
      <c r="Q3" s="4">
        <f t="shared" ref="Q2:Q33" si="3">(G3/F3)</f>
        <v>0.125</v>
      </c>
    </row>
    <row r="4" spans="1:17">
      <c r="A4" t="s">
        <v>24</v>
      </c>
      <c r="B4" t="s">
        <v>25</v>
      </c>
      <c r="C4" t="s">
        <v>26</v>
      </c>
      <c r="D4" s="2">
        <v>45352</v>
      </c>
      <c r="E4">
        <v>13000</v>
      </c>
      <c r="F4">
        <v>420</v>
      </c>
      <c r="G4">
        <v>18</v>
      </c>
      <c r="H4" s="3">
        <v>170</v>
      </c>
      <c r="I4" s="3">
        <v>400</v>
      </c>
      <c r="J4" t="s">
        <v>20</v>
      </c>
      <c r="K4" t="str">
        <f t="shared" si="0"/>
        <v>PAID</v>
      </c>
      <c r="L4" s="4">
        <f>IF(OR(H4=0, H4=""), "", (I4-H4)/H4)</f>
        <v>1.3529411764705883</v>
      </c>
      <c r="M4" s="4">
        <f t="shared" si="1"/>
        <v>2.3529411764705883</v>
      </c>
      <c r="N4" s="3">
        <f>IF(OR(H4=0, H4=""), "", (H4/G4))</f>
        <v>9.4444444444444446</v>
      </c>
      <c r="O4" s="3">
        <f>IF(OR(H4=0, H4=""), "", (H4/F4))</f>
        <v>0.40476190476190477</v>
      </c>
      <c r="P4" s="4">
        <f t="shared" si="2"/>
        <v>3.2307692307692308E-2</v>
      </c>
      <c r="Q4" s="4">
        <f t="shared" si="3"/>
        <v>4.2857142857142858E-2</v>
      </c>
    </row>
    <row r="5" spans="1:17">
      <c r="A5" t="s">
        <v>27</v>
      </c>
      <c r="B5" t="s">
        <v>28</v>
      </c>
      <c r="C5" t="s">
        <v>29</v>
      </c>
      <c r="D5" s="2">
        <v>45352</v>
      </c>
      <c r="E5">
        <v>4300</v>
      </c>
      <c r="F5">
        <v>210</v>
      </c>
      <c r="G5">
        <v>26</v>
      </c>
      <c r="H5" s="3">
        <v>85</v>
      </c>
      <c r="I5" s="3">
        <v>350</v>
      </c>
      <c r="J5" t="s">
        <v>20</v>
      </c>
      <c r="K5" t="str">
        <f t="shared" si="0"/>
        <v>PAID</v>
      </c>
      <c r="L5" s="4">
        <f>IF(OR(H5=0, H5=""), "", (I5-H5)/H5)</f>
        <v>3.1176470588235294</v>
      </c>
      <c r="M5" s="4">
        <f t="shared" si="1"/>
        <v>4.117647058823529</v>
      </c>
      <c r="N5" s="3">
        <f>IF(OR(H5=0, H5=""), "", (H5/G5))</f>
        <v>3.2692307692307692</v>
      </c>
      <c r="O5" s="3">
        <f>IF(OR(H5=0, H5=""), "", (H5/F5))</f>
        <v>0.40476190476190477</v>
      </c>
      <c r="P5" s="4">
        <f t="shared" si="2"/>
        <v>4.8837209302325581E-2</v>
      </c>
      <c r="Q5" s="4">
        <f t="shared" si="3"/>
        <v>0.12380952380952381</v>
      </c>
    </row>
    <row r="6" spans="1:17">
      <c r="A6" t="s">
        <v>30</v>
      </c>
      <c r="B6" t="s">
        <v>31</v>
      </c>
      <c r="C6" t="s">
        <v>32</v>
      </c>
      <c r="D6" s="2">
        <v>45352</v>
      </c>
      <c r="E6">
        <v>1700</v>
      </c>
      <c r="F6">
        <v>60</v>
      </c>
      <c r="G6">
        <v>9</v>
      </c>
      <c r="H6" s="3">
        <v>0</v>
      </c>
      <c r="I6" s="3">
        <v>90</v>
      </c>
      <c r="J6" t="s">
        <v>20</v>
      </c>
      <c r="K6" t="str">
        <f t="shared" si="0"/>
        <v>ORGANIC</v>
      </c>
      <c r="L6" s="4" t="str">
        <f>IF(OR(H6=0, H6=""), "", (I6-H6)/H6)</f>
        <v/>
      </c>
      <c r="M6" s="4" t="str">
        <f t="shared" si="1"/>
        <v/>
      </c>
      <c r="N6" s="3" t="str">
        <f>IF(OR(H6=0, H6=""), "", (H6/G6))</f>
        <v/>
      </c>
      <c r="O6" s="3" t="str">
        <f>IF(OR(H6=0, H6=""), "", (H6/F6))</f>
        <v/>
      </c>
      <c r="P6" s="4">
        <f t="shared" si="2"/>
        <v>3.5294117647058823E-2</v>
      </c>
      <c r="Q6" s="4">
        <f t="shared" si="3"/>
        <v>0.15</v>
      </c>
    </row>
    <row r="7" spans="1:17">
      <c r="A7" t="s">
        <v>17</v>
      </c>
      <c r="B7" t="s">
        <v>18</v>
      </c>
      <c r="C7" t="s">
        <v>33</v>
      </c>
      <c r="D7" s="2">
        <v>45352</v>
      </c>
      <c r="E7">
        <v>6000</v>
      </c>
      <c r="F7">
        <v>490</v>
      </c>
      <c r="G7">
        <v>44</v>
      </c>
      <c r="H7" s="3">
        <v>210</v>
      </c>
      <c r="I7" s="3">
        <v>1100</v>
      </c>
      <c r="J7" t="s">
        <v>20</v>
      </c>
      <c r="K7" t="str">
        <f t="shared" si="0"/>
        <v>PAID</v>
      </c>
      <c r="L7" s="4">
        <f t="shared" ref="L6:L33" si="4">IF(OR(H7=0, H7=""), "", (I7-H7)/H7)</f>
        <v>4.2380952380952381</v>
      </c>
      <c r="M7" s="4">
        <f t="shared" si="1"/>
        <v>5.2380952380952381</v>
      </c>
      <c r="N7" s="3">
        <f>IF(OR(H7=0, H7=""), "", (H7/G7))</f>
        <v>4.7727272727272725</v>
      </c>
      <c r="O7" s="3">
        <f>IF(OR(H7=0, H7=""), "", (H7/F7))</f>
        <v>0.42857142857142855</v>
      </c>
      <c r="P7" s="4">
        <f t="shared" si="2"/>
        <v>8.1666666666666665E-2</v>
      </c>
      <c r="Q7" s="4">
        <f t="shared" si="3"/>
        <v>8.9795918367346933E-2</v>
      </c>
    </row>
    <row r="8" spans="1:17">
      <c r="A8" t="s">
        <v>21</v>
      </c>
      <c r="B8" t="s">
        <v>22</v>
      </c>
      <c r="C8" t="s">
        <v>34</v>
      </c>
      <c r="D8" s="2">
        <v>45352</v>
      </c>
      <c r="E8">
        <v>3000</v>
      </c>
      <c r="F8">
        <v>160</v>
      </c>
      <c r="G8">
        <v>24</v>
      </c>
      <c r="H8" s="3">
        <v>0</v>
      </c>
      <c r="I8" s="3">
        <v>320</v>
      </c>
      <c r="J8" t="s">
        <v>20</v>
      </c>
      <c r="K8" t="str">
        <f t="shared" si="0"/>
        <v>ORGANIC</v>
      </c>
      <c r="L8" s="4" t="str">
        <f t="shared" si="4"/>
        <v/>
      </c>
      <c r="M8" s="4" t="str">
        <f t="shared" si="1"/>
        <v/>
      </c>
      <c r="N8" s="3" t="str">
        <f>IF(OR(H8=0, H8=""), "", (H8/G8))</f>
        <v/>
      </c>
      <c r="O8" s="3" t="str">
        <f>IF(OR(H8=0, H8=""), "", (H8/F8))</f>
        <v/>
      </c>
      <c r="P8" s="4">
        <f t="shared" si="2"/>
        <v>5.3333333333333337E-2</v>
      </c>
      <c r="Q8" s="4">
        <f t="shared" si="3"/>
        <v>0.15</v>
      </c>
    </row>
    <row r="9" spans="1:17">
      <c r="A9" t="s">
        <v>24</v>
      </c>
      <c r="B9" t="s">
        <v>25</v>
      </c>
      <c r="C9" t="s">
        <v>35</v>
      </c>
      <c r="D9" s="2">
        <v>45352</v>
      </c>
      <c r="E9">
        <v>2500</v>
      </c>
      <c r="F9">
        <v>60</v>
      </c>
      <c r="G9">
        <v>7</v>
      </c>
      <c r="H9" s="3">
        <v>65</v>
      </c>
      <c r="I9" s="3">
        <v>100</v>
      </c>
      <c r="J9" t="s">
        <v>20</v>
      </c>
      <c r="K9" t="str">
        <f t="shared" si="0"/>
        <v>PAID</v>
      </c>
      <c r="L9" s="4">
        <f t="shared" si="4"/>
        <v>0.53846153846153844</v>
      </c>
      <c r="M9" s="4">
        <f t="shared" si="1"/>
        <v>1.5384615384615385</v>
      </c>
      <c r="N9" s="3">
        <f>IF(OR(H9=0, H9=""), "", (H9/G9))</f>
        <v>9.2857142857142865</v>
      </c>
      <c r="O9" s="3">
        <f>IF(OR(H9=0, H9=""), "", (H9/F9))</f>
        <v>1.0833333333333333</v>
      </c>
      <c r="P9" s="4">
        <f t="shared" si="2"/>
        <v>2.4E-2</v>
      </c>
      <c r="Q9" s="4">
        <f t="shared" si="3"/>
        <v>0.11666666666666667</v>
      </c>
    </row>
    <row r="10" spans="1:17">
      <c r="A10" t="s">
        <v>27</v>
      </c>
      <c r="B10" t="s">
        <v>28</v>
      </c>
      <c r="C10" t="s">
        <v>19</v>
      </c>
      <c r="D10" s="2">
        <v>45353</v>
      </c>
      <c r="E10">
        <v>2600</v>
      </c>
      <c r="F10">
        <v>210</v>
      </c>
      <c r="G10">
        <v>19</v>
      </c>
      <c r="H10" s="3">
        <v>55</v>
      </c>
      <c r="I10" s="3">
        <v>180</v>
      </c>
      <c r="J10" t="s">
        <v>20</v>
      </c>
      <c r="K10" t="str">
        <f t="shared" si="0"/>
        <v>PAID</v>
      </c>
      <c r="L10" s="4">
        <f t="shared" si="4"/>
        <v>2.2727272727272729</v>
      </c>
      <c r="M10" s="4">
        <f t="shared" si="1"/>
        <v>3.2727272727272729</v>
      </c>
      <c r="N10" s="3">
        <f>IF(OR(H10=0, H10=""), "", (H10/G10))</f>
        <v>2.8947368421052633</v>
      </c>
      <c r="O10" s="3">
        <f>IF(OR(H10=0, H10=""), "", (H10/F10))</f>
        <v>0.26190476190476192</v>
      </c>
      <c r="P10" s="4">
        <f t="shared" si="2"/>
        <v>8.0769230769230774E-2</v>
      </c>
      <c r="Q10" s="4">
        <f t="shared" si="3"/>
        <v>9.0476190476190474E-2</v>
      </c>
    </row>
    <row r="11" spans="1:17">
      <c r="A11" t="s">
        <v>30</v>
      </c>
      <c r="B11" t="s">
        <v>31</v>
      </c>
      <c r="C11" t="s">
        <v>23</v>
      </c>
      <c r="D11" s="2">
        <v>45353</v>
      </c>
      <c r="E11">
        <v>3100</v>
      </c>
      <c r="F11">
        <v>250</v>
      </c>
      <c r="G11">
        <v>22</v>
      </c>
      <c r="H11" s="3">
        <v>95</v>
      </c>
      <c r="I11" s="3">
        <v>210</v>
      </c>
      <c r="J11" t="s">
        <v>20</v>
      </c>
      <c r="K11" t="str">
        <f t="shared" si="0"/>
        <v>PAID</v>
      </c>
      <c r="L11" s="4">
        <f t="shared" si="4"/>
        <v>1.2105263157894737</v>
      </c>
      <c r="M11" s="4">
        <f t="shared" si="1"/>
        <v>2.2105263157894739</v>
      </c>
      <c r="N11" s="3">
        <f>IF(OR(H11=0, H11=""), "", (H11/G11))</f>
        <v>4.3181818181818183</v>
      </c>
      <c r="O11" s="3">
        <f>IF(OR(H11=0, H11=""), "", (H11/F11))</f>
        <v>0.38</v>
      </c>
      <c r="P11" s="4">
        <f t="shared" si="2"/>
        <v>8.0645161290322578E-2</v>
      </c>
      <c r="Q11" s="4">
        <f t="shared" si="3"/>
        <v>8.7999999999999995E-2</v>
      </c>
    </row>
    <row r="12" spans="1:17">
      <c r="A12" t="s">
        <v>36</v>
      </c>
      <c r="B12" t="s">
        <v>37</v>
      </c>
      <c r="C12" t="s">
        <v>33</v>
      </c>
      <c r="D12" s="2">
        <v>45353</v>
      </c>
      <c r="E12">
        <v>6200</v>
      </c>
      <c r="F12">
        <v>530</v>
      </c>
      <c r="G12">
        <v>53</v>
      </c>
      <c r="H12" s="3">
        <v>220</v>
      </c>
      <c r="I12" s="3">
        <v>980</v>
      </c>
      <c r="J12" t="s">
        <v>20</v>
      </c>
      <c r="K12" t="str">
        <f t="shared" si="0"/>
        <v>PAID</v>
      </c>
      <c r="L12" s="4">
        <f t="shared" si="4"/>
        <v>3.4545454545454546</v>
      </c>
      <c r="M12" s="4">
        <f t="shared" si="1"/>
        <v>4.4545454545454541</v>
      </c>
      <c r="N12" s="3">
        <f>IF(OR(H12=0, H12=""), "", (H12/G12))</f>
        <v>4.1509433962264151</v>
      </c>
      <c r="O12" s="3">
        <f>IF(OR(H12=0, H12=""), "", (H12/F12))</f>
        <v>0.41509433962264153</v>
      </c>
      <c r="P12" s="4">
        <f t="shared" si="2"/>
        <v>8.5483870967741932E-2</v>
      </c>
      <c r="Q12" s="4">
        <f t="shared" si="3"/>
        <v>0.1</v>
      </c>
    </row>
    <row r="13" spans="1:17">
      <c r="A13" t="s">
        <v>38</v>
      </c>
      <c r="B13" t="s">
        <v>39</v>
      </c>
      <c r="C13" t="s">
        <v>34</v>
      </c>
      <c r="D13" s="2">
        <v>45353</v>
      </c>
      <c r="E13">
        <v>3400</v>
      </c>
      <c r="F13">
        <v>180</v>
      </c>
      <c r="G13">
        <v>34</v>
      </c>
      <c r="H13" s="3">
        <v>0</v>
      </c>
      <c r="I13" s="3">
        <v>370</v>
      </c>
      <c r="J13" t="s">
        <v>20</v>
      </c>
      <c r="K13" t="str">
        <f t="shared" si="0"/>
        <v>ORGANIC</v>
      </c>
      <c r="L13" s="4" t="str">
        <f t="shared" si="4"/>
        <v/>
      </c>
      <c r="M13" s="4" t="str">
        <f t="shared" si="1"/>
        <v/>
      </c>
      <c r="N13" s="3" t="str">
        <f>IF(OR(H13=0, H13=""), "", (H13/G13))</f>
        <v/>
      </c>
      <c r="O13" s="3" t="str">
        <f>IF(OR(H13=0, H13=""), "", (H13/F13))</f>
        <v/>
      </c>
      <c r="P13" s="4">
        <f t="shared" si="2"/>
        <v>5.2941176470588235E-2</v>
      </c>
      <c r="Q13" s="4">
        <f t="shared" si="3"/>
        <v>0.18888888888888888</v>
      </c>
    </row>
    <row r="14" spans="1:17">
      <c r="A14" t="s">
        <v>40</v>
      </c>
      <c r="B14" t="s">
        <v>41</v>
      </c>
      <c r="C14" t="s">
        <v>26</v>
      </c>
      <c r="D14" s="2">
        <v>45353</v>
      </c>
      <c r="E14">
        <v>12400</v>
      </c>
      <c r="F14">
        <v>400</v>
      </c>
      <c r="G14">
        <v>20</v>
      </c>
      <c r="H14" s="3">
        <v>156</v>
      </c>
      <c r="I14" s="3">
        <v>360</v>
      </c>
      <c r="J14" t="s">
        <v>20</v>
      </c>
      <c r="K14" t="str">
        <f t="shared" si="0"/>
        <v>PAID</v>
      </c>
      <c r="L14" s="4">
        <f t="shared" si="4"/>
        <v>1.3076923076923077</v>
      </c>
      <c r="M14" s="4">
        <f t="shared" si="1"/>
        <v>2.3076923076923075</v>
      </c>
      <c r="N14" s="3">
        <f>IF(OR(H14=0, H14=""), "", (H14/G14))</f>
        <v>7.8</v>
      </c>
      <c r="O14" s="3">
        <f>IF(OR(H14=0, H14=""), "", (H14/F14))</f>
        <v>0.39</v>
      </c>
      <c r="P14" s="4">
        <f t="shared" si="2"/>
        <v>3.2258064516129031E-2</v>
      </c>
      <c r="Q14" s="4">
        <f t="shared" si="3"/>
        <v>0.05</v>
      </c>
    </row>
    <row r="15" spans="1:17">
      <c r="A15" t="s">
        <v>42</v>
      </c>
      <c r="B15" t="s">
        <v>43</v>
      </c>
      <c r="C15" t="s">
        <v>29</v>
      </c>
      <c r="D15" s="2">
        <v>45353</v>
      </c>
      <c r="E15">
        <v>3500</v>
      </c>
      <c r="F15">
        <v>140</v>
      </c>
      <c r="G15">
        <v>15</v>
      </c>
      <c r="H15" s="3">
        <v>49</v>
      </c>
      <c r="I15" s="3">
        <v>160</v>
      </c>
      <c r="J15" t="s">
        <v>20</v>
      </c>
      <c r="K15" t="str">
        <f t="shared" si="0"/>
        <v>PAID</v>
      </c>
      <c r="L15" s="4">
        <f t="shared" si="4"/>
        <v>2.2653061224489797</v>
      </c>
      <c r="M15" s="4">
        <f t="shared" si="1"/>
        <v>3.2653061224489797</v>
      </c>
      <c r="N15" s="3">
        <f>IF(OR(H15=0, H15=""), "", (H15/G15))</f>
        <v>3.2666666666666666</v>
      </c>
      <c r="O15" s="3">
        <f>IF(OR(H15=0, H15=""), "", (H15/F15))</f>
        <v>0.35</v>
      </c>
      <c r="P15" s="4">
        <f t="shared" si="2"/>
        <v>0.04</v>
      </c>
      <c r="Q15" s="4">
        <f t="shared" si="3"/>
        <v>0.10714285714285714</v>
      </c>
    </row>
    <row r="16" spans="1:17">
      <c r="A16" t="s">
        <v>44</v>
      </c>
      <c r="B16" t="s">
        <v>45</v>
      </c>
      <c r="C16" t="s">
        <v>32</v>
      </c>
      <c r="D16" s="2">
        <v>45353</v>
      </c>
      <c r="E16">
        <v>2100</v>
      </c>
      <c r="F16">
        <v>95</v>
      </c>
      <c r="G16">
        <v>11</v>
      </c>
      <c r="H16" s="3">
        <v>0</v>
      </c>
      <c r="I16" s="3">
        <v>110</v>
      </c>
      <c r="J16" t="s">
        <v>20</v>
      </c>
      <c r="K16" t="str">
        <f t="shared" si="0"/>
        <v>ORGANIC</v>
      </c>
      <c r="L16" s="4" t="str">
        <f t="shared" si="4"/>
        <v/>
      </c>
      <c r="M16" s="4" t="str">
        <f t="shared" si="1"/>
        <v/>
      </c>
      <c r="N16" s="3" t="str">
        <f>IF(OR(H16=0, H16=""), "", (H16/G16))</f>
        <v/>
      </c>
      <c r="O16" s="3" t="str">
        <f>IF(OR(H16=0, H16=""), "", (H16/F16))</f>
        <v/>
      </c>
      <c r="P16" s="4">
        <f t="shared" si="2"/>
        <v>4.5238095238095237E-2</v>
      </c>
      <c r="Q16" s="4">
        <f t="shared" si="3"/>
        <v>0.11578947368421053</v>
      </c>
    </row>
    <row r="17" spans="1:17">
      <c r="A17" t="s">
        <v>36</v>
      </c>
      <c r="B17" t="s">
        <v>37</v>
      </c>
      <c r="C17" t="s">
        <v>19</v>
      </c>
      <c r="D17" s="2">
        <v>45354</v>
      </c>
      <c r="E17">
        <v>3700</v>
      </c>
      <c r="F17">
        <v>370</v>
      </c>
      <c r="G17">
        <v>42</v>
      </c>
      <c r="H17" s="3">
        <v>77</v>
      </c>
      <c r="I17" s="3">
        <v>330</v>
      </c>
      <c r="J17" t="s">
        <v>20</v>
      </c>
      <c r="K17" t="str">
        <f t="shared" si="0"/>
        <v>PAID</v>
      </c>
      <c r="L17" s="4">
        <f t="shared" si="4"/>
        <v>3.2857142857142856</v>
      </c>
      <c r="M17" s="4">
        <f t="shared" si="1"/>
        <v>4.2857142857142856</v>
      </c>
      <c r="N17" s="3">
        <f>IF(OR(H17=0, H17=""), "", (H17/G17))</f>
        <v>1.8333333333333333</v>
      </c>
      <c r="O17" s="3">
        <f>IF(OR(H17=0, H17=""), "", (H17/F17))</f>
        <v>0.20810810810810812</v>
      </c>
      <c r="P17" s="4">
        <f t="shared" si="2"/>
        <v>0.1</v>
      </c>
      <c r="Q17" s="4">
        <f t="shared" si="3"/>
        <v>0.11351351351351352</v>
      </c>
    </row>
    <row r="18" spans="1:17">
      <c r="A18" t="s">
        <v>38</v>
      </c>
      <c r="B18" t="s">
        <v>39</v>
      </c>
      <c r="C18" t="s">
        <v>23</v>
      </c>
      <c r="D18" s="2">
        <v>45354</v>
      </c>
      <c r="E18">
        <v>6600</v>
      </c>
      <c r="F18">
        <v>350</v>
      </c>
      <c r="G18">
        <v>29</v>
      </c>
      <c r="H18" s="3">
        <v>130</v>
      </c>
      <c r="I18" s="3">
        <v>260</v>
      </c>
      <c r="J18" t="s">
        <v>20</v>
      </c>
      <c r="K18" t="str">
        <f t="shared" si="0"/>
        <v>PAID</v>
      </c>
      <c r="L18" s="4">
        <f t="shared" si="4"/>
        <v>1</v>
      </c>
      <c r="M18" s="4">
        <f t="shared" si="1"/>
        <v>2</v>
      </c>
      <c r="N18" s="3">
        <f>IF(OR(H18=0, H18=""), "", (H18/G18))</f>
        <v>4.4827586206896548</v>
      </c>
      <c r="O18" s="3">
        <f>IF(OR(H18=0, H18=""), "", (H18/F18))</f>
        <v>0.37142857142857144</v>
      </c>
      <c r="P18" s="4">
        <f t="shared" si="2"/>
        <v>5.3030303030303032E-2</v>
      </c>
      <c r="Q18" s="4">
        <f t="shared" si="3"/>
        <v>8.2857142857142851E-2</v>
      </c>
    </row>
    <row r="19" spans="1:17">
      <c r="A19" t="s">
        <v>40</v>
      </c>
      <c r="B19" t="s">
        <v>41</v>
      </c>
      <c r="C19" t="s">
        <v>33</v>
      </c>
      <c r="D19" s="2">
        <v>45354</v>
      </c>
      <c r="E19">
        <v>8900</v>
      </c>
      <c r="F19">
        <v>580</v>
      </c>
      <c r="G19">
        <v>46</v>
      </c>
      <c r="H19" s="3">
        <v>215</v>
      </c>
      <c r="I19" s="3">
        <v>570</v>
      </c>
      <c r="J19" t="s">
        <v>20</v>
      </c>
      <c r="K19" t="str">
        <f t="shared" si="0"/>
        <v>PAID</v>
      </c>
      <c r="L19" s="4">
        <f t="shared" si="4"/>
        <v>1.6511627906976745</v>
      </c>
      <c r="M19" s="4">
        <f t="shared" si="1"/>
        <v>2.6511627906976742</v>
      </c>
      <c r="N19" s="3">
        <f>IF(OR(H19=0, H19=""), "", (H19/G19))</f>
        <v>4.6739130434782608</v>
      </c>
      <c r="O19" s="3">
        <f>IF(OR(H19=0, H19=""), "", (H19/F19))</f>
        <v>0.37068965517241381</v>
      </c>
      <c r="P19" s="4">
        <f t="shared" si="2"/>
        <v>6.5168539325842698E-2</v>
      </c>
      <c r="Q19" s="4">
        <f t="shared" si="3"/>
        <v>7.9310344827586213E-2</v>
      </c>
    </row>
    <row r="20" spans="1:17">
      <c r="A20" t="s">
        <v>42</v>
      </c>
      <c r="B20" t="s">
        <v>43</v>
      </c>
      <c r="C20" t="s">
        <v>34</v>
      </c>
      <c r="D20" s="2">
        <v>45354</v>
      </c>
      <c r="E20">
        <v>3600</v>
      </c>
      <c r="F20">
        <v>160</v>
      </c>
      <c r="G20">
        <v>20</v>
      </c>
      <c r="H20" s="3">
        <v>0</v>
      </c>
      <c r="I20" s="3">
        <v>290</v>
      </c>
      <c r="J20" t="s">
        <v>20</v>
      </c>
      <c r="K20" t="str">
        <f t="shared" si="0"/>
        <v>ORGANIC</v>
      </c>
      <c r="L20" s="4" t="str">
        <f t="shared" si="4"/>
        <v/>
      </c>
      <c r="M20" s="4" t="str">
        <f t="shared" si="1"/>
        <v/>
      </c>
      <c r="N20" s="3" t="str">
        <f>IF(OR(H20=0, H20=""), "", (H20/G20))</f>
        <v/>
      </c>
      <c r="O20" s="3" t="str">
        <f>IF(OR(H20=0, H20=""), "", (H20/F20))</f>
        <v/>
      </c>
      <c r="P20" s="4">
        <f t="shared" si="2"/>
        <v>4.4444444444444446E-2</v>
      </c>
      <c r="Q20" s="4">
        <f t="shared" si="3"/>
        <v>0.125</v>
      </c>
    </row>
    <row r="21" spans="1:17">
      <c r="A21" t="s">
        <v>44</v>
      </c>
      <c r="B21" t="s">
        <v>45</v>
      </c>
      <c r="C21" t="s">
        <v>26</v>
      </c>
      <c r="D21" s="2">
        <v>45354</v>
      </c>
      <c r="E21">
        <v>11500</v>
      </c>
      <c r="F21">
        <v>390</v>
      </c>
      <c r="G21">
        <v>23</v>
      </c>
      <c r="H21" s="3">
        <v>143</v>
      </c>
      <c r="I21" s="3">
        <v>320</v>
      </c>
      <c r="J21" t="s">
        <v>20</v>
      </c>
      <c r="K21" t="str">
        <f t="shared" si="0"/>
        <v>PAID</v>
      </c>
      <c r="L21" s="4">
        <f t="shared" si="4"/>
        <v>1.2377622377622377</v>
      </c>
      <c r="M21" s="4">
        <f t="shared" si="1"/>
        <v>2.2377622377622379</v>
      </c>
      <c r="N21" s="3">
        <f>IF(OR(H21=0, H21=""), "", (H21/G21))</f>
        <v>6.2173913043478262</v>
      </c>
      <c r="O21" s="3">
        <f>IF(OR(H21=0, H21=""), "", (H21/F21))</f>
        <v>0.36666666666666664</v>
      </c>
      <c r="P21" s="4">
        <f t="shared" si="2"/>
        <v>3.3913043478260872E-2</v>
      </c>
      <c r="Q21" s="4">
        <f t="shared" si="3"/>
        <v>5.8974358974358973E-2</v>
      </c>
    </row>
    <row r="22" spans="1:17">
      <c r="A22" t="s">
        <v>46</v>
      </c>
      <c r="B22" t="s">
        <v>47</v>
      </c>
      <c r="C22" t="s">
        <v>29</v>
      </c>
      <c r="D22" s="2">
        <v>45354</v>
      </c>
      <c r="E22">
        <v>4100</v>
      </c>
      <c r="F22">
        <v>170</v>
      </c>
      <c r="G22">
        <v>17</v>
      </c>
      <c r="H22" s="3">
        <v>53</v>
      </c>
      <c r="I22" s="3">
        <v>135</v>
      </c>
      <c r="J22" t="s">
        <v>20</v>
      </c>
      <c r="K22" t="str">
        <f t="shared" si="0"/>
        <v>PAID</v>
      </c>
      <c r="L22" s="4">
        <f t="shared" si="4"/>
        <v>1.5471698113207548</v>
      </c>
      <c r="M22" s="4">
        <f t="shared" si="1"/>
        <v>2.5471698113207548</v>
      </c>
      <c r="N22" s="3">
        <f>IF(OR(H22=0, H22=""), "", (H22/G22))</f>
        <v>3.1176470588235294</v>
      </c>
      <c r="O22" s="3">
        <f>IF(OR(H22=0, H22=""), "", (H22/F22))</f>
        <v>0.31176470588235294</v>
      </c>
      <c r="P22" s="4">
        <f t="shared" si="2"/>
        <v>4.1463414634146344E-2</v>
      </c>
      <c r="Q22" s="4">
        <f t="shared" si="3"/>
        <v>0.1</v>
      </c>
    </row>
    <row r="23" spans="1:17">
      <c r="A23" t="s">
        <v>48</v>
      </c>
      <c r="B23" t="s">
        <v>49</v>
      </c>
      <c r="C23" t="s">
        <v>32</v>
      </c>
      <c r="D23" s="2">
        <v>45354</v>
      </c>
      <c r="E23">
        <v>1950</v>
      </c>
      <c r="F23">
        <v>80</v>
      </c>
      <c r="G23">
        <v>12</v>
      </c>
      <c r="H23" s="3">
        <v>0</v>
      </c>
      <c r="I23" s="3">
        <v>125</v>
      </c>
      <c r="J23" t="s">
        <v>20</v>
      </c>
      <c r="K23" t="str">
        <f t="shared" si="0"/>
        <v>ORGANIC</v>
      </c>
      <c r="L23" s="4" t="str">
        <f t="shared" si="4"/>
        <v/>
      </c>
      <c r="M23" s="4" t="str">
        <f t="shared" si="1"/>
        <v/>
      </c>
      <c r="N23" s="3" t="str">
        <f>IF(OR(H23=0, H23=""), "", (H23/G23))</f>
        <v/>
      </c>
      <c r="O23" s="3" t="str">
        <f>IF(OR(H23=0, H23=""), "", (H23/F23))</f>
        <v/>
      </c>
      <c r="P23" s="4">
        <f t="shared" si="2"/>
        <v>4.1025641025641026E-2</v>
      </c>
      <c r="Q23" s="4">
        <f t="shared" si="3"/>
        <v>0.15</v>
      </c>
    </row>
    <row r="24" spans="1:17">
      <c r="A24" t="s">
        <v>38</v>
      </c>
      <c r="B24" t="s">
        <v>39</v>
      </c>
      <c r="C24" t="s">
        <v>19</v>
      </c>
      <c r="D24" s="2">
        <v>45355</v>
      </c>
      <c r="E24">
        <v>3000</v>
      </c>
      <c r="F24">
        <v>260</v>
      </c>
      <c r="G24">
        <v>34</v>
      </c>
      <c r="H24" s="3">
        <v>65</v>
      </c>
      <c r="I24" s="3">
        <v>220</v>
      </c>
      <c r="J24" t="s">
        <v>20</v>
      </c>
      <c r="K24" t="str">
        <f t="shared" si="0"/>
        <v>PAID</v>
      </c>
      <c r="L24" s="4">
        <f t="shared" si="4"/>
        <v>2.3846153846153846</v>
      </c>
      <c r="M24" s="4">
        <f t="shared" si="1"/>
        <v>3.3846153846153846</v>
      </c>
      <c r="N24" s="3">
        <f>IF(OR(H24=0, H24=""), "", (H24/G24))</f>
        <v>1.911764705882353</v>
      </c>
      <c r="O24" s="3">
        <f>IF(OR(H24=0, H24=""), "", (H24/F24))</f>
        <v>0.25</v>
      </c>
      <c r="P24" s="4">
        <f t="shared" si="2"/>
        <v>8.666666666666667E-2</v>
      </c>
      <c r="Q24" s="4">
        <f t="shared" si="3"/>
        <v>0.13076923076923078</v>
      </c>
    </row>
    <row r="25" spans="1:17">
      <c r="A25" t="s">
        <v>40</v>
      </c>
      <c r="B25" t="s">
        <v>41</v>
      </c>
      <c r="C25" t="s">
        <v>23</v>
      </c>
      <c r="D25" s="2">
        <v>45355</v>
      </c>
      <c r="E25">
        <v>5100</v>
      </c>
      <c r="F25">
        <v>280</v>
      </c>
      <c r="G25">
        <v>23</v>
      </c>
      <c r="H25" s="3">
        <v>92</v>
      </c>
      <c r="I25" s="3">
        <v>187</v>
      </c>
      <c r="J25" t="s">
        <v>20</v>
      </c>
      <c r="K25" t="str">
        <f t="shared" si="0"/>
        <v>PAID</v>
      </c>
      <c r="L25" s="4">
        <f t="shared" si="4"/>
        <v>1.0326086956521738</v>
      </c>
      <c r="M25" s="4">
        <f t="shared" si="1"/>
        <v>2.0326086956521738</v>
      </c>
      <c r="N25" s="3">
        <f>IF(OR(H25=0, H25=""), "", (H25/G25))</f>
        <v>4</v>
      </c>
      <c r="O25" s="3">
        <f>IF(OR(H25=0, H25=""), "", (H25/F25))</f>
        <v>0.32857142857142857</v>
      </c>
      <c r="P25" s="4">
        <f t="shared" si="2"/>
        <v>5.4901960784313725E-2</v>
      </c>
      <c r="Q25" s="4">
        <f t="shared" si="3"/>
        <v>8.2142857142857142E-2</v>
      </c>
    </row>
    <row r="26" spans="1:17">
      <c r="A26" t="s">
        <v>42</v>
      </c>
      <c r="B26" t="s">
        <v>43</v>
      </c>
      <c r="C26" t="s">
        <v>33</v>
      </c>
      <c r="D26" s="2">
        <v>45355</v>
      </c>
      <c r="E26">
        <v>7100</v>
      </c>
      <c r="F26">
        <v>500</v>
      </c>
      <c r="G26">
        <v>45</v>
      </c>
      <c r="H26" s="3">
        <v>190</v>
      </c>
      <c r="I26" s="3">
        <v>470</v>
      </c>
      <c r="J26" t="s">
        <v>20</v>
      </c>
      <c r="K26" t="str">
        <f t="shared" si="0"/>
        <v>PAID</v>
      </c>
      <c r="L26" s="4">
        <f t="shared" si="4"/>
        <v>1.4736842105263157</v>
      </c>
      <c r="M26" s="4">
        <f t="shared" si="1"/>
        <v>2.4736842105263159</v>
      </c>
      <c r="N26" s="3">
        <f>IF(OR(H26=0, H26=""), "", (H26/G26))</f>
        <v>4.2222222222222223</v>
      </c>
      <c r="O26" s="3">
        <f>IF(OR(H26=0, H26=""), "", (H26/F26))</f>
        <v>0.38</v>
      </c>
      <c r="P26" s="4">
        <f t="shared" si="2"/>
        <v>7.0422535211267609E-2</v>
      </c>
      <c r="Q26" s="4">
        <f t="shared" si="3"/>
        <v>0.09</v>
      </c>
    </row>
    <row r="27" spans="1:17">
      <c r="A27" t="s">
        <v>44</v>
      </c>
      <c r="B27" t="s">
        <v>45</v>
      </c>
      <c r="C27" t="s">
        <v>34</v>
      </c>
      <c r="D27" s="2">
        <v>45355</v>
      </c>
      <c r="E27">
        <v>2600</v>
      </c>
      <c r="F27">
        <v>120</v>
      </c>
      <c r="G27">
        <v>15</v>
      </c>
      <c r="H27" s="3">
        <v>0</v>
      </c>
      <c r="I27" s="3">
        <v>200</v>
      </c>
      <c r="J27" t="s">
        <v>20</v>
      </c>
      <c r="K27" t="str">
        <f t="shared" si="0"/>
        <v>ORGANIC</v>
      </c>
      <c r="L27" s="4" t="str">
        <f t="shared" si="4"/>
        <v/>
      </c>
      <c r="M27" s="4" t="str">
        <f t="shared" si="1"/>
        <v/>
      </c>
      <c r="N27" s="3" t="str">
        <f>IF(OR(H27=0, H27=""), "", (H27/G27))</f>
        <v/>
      </c>
      <c r="O27" s="3" t="str">
        <f>IF(OR(H27=0, H27=""), "", (H27/F27))</f>
        <v/>
      </c>
      <c r="P27" s="4">
        <f t="shared" si="2"/>
        <v>4.6153846153846156E-2</v>
      </c>
      <c r="Q27" s="4">
        <f t="shared" si="3"/>
        <v>0.125</v>
      </c>
    </row>
    <row r="28" spans="1:17">
      <c r="A28" t="s">
        <v>46</v>
      </c>
      <c r="B28" t="s">
        <v>47</v>
      </c>
      <c r="C28" t="s">
        <v>26</v>
      </c>
      <c r="D28" s="2">
        <v>45355</v>
      </c>
      <c r="E28">
        <v>12200</v>
      </c>
      <c r="F28">
        <v>460</v>
      </c>
      <c r="G28">
        <v>28</v>
      </c>
      <c r="H28" s="3">
        <v>138</v>
      </c>
      <c r="I28" s="3">
        <v>340</v>
      </c>
      <c r="J28" t="s">
        <v>20</v>
      </c>
      <c r="K28" t="str">
        <f t="shared" si="0"/>
        <v>PAID</v>
      </c>
      <c r="L28" s="4">
        <f t="shared" si="4"/>
        <v>1.463768115942029</v>
      </c>
      <c r="M28" s="4">
        <f t="shared" si="1"/>
        <v>2.4637681159420288</v>
      </c>
      <c r="N28" s="3">
        <f>IF(OR(H28=0, H28=""), "", (H28/G28))</f>
        <v>4.9285714285714288</v>
      </c>
      <c r="O28" s="3">
        <f>IF(OR(H28=0, H28=""), "", (H28/F28))</f>
        <v>0.3</v>
      </c>
      <c r="P28" s="4">
        <f t="shared" si="2"/>
        <v>3.7704918032786888E-2</v>
      </c>
      <c r="Q28" s="4">
        <f t="shared" si="3"/>
        <v>6.0869565217391307E-2</v>
      </c>
    </row>
    <row r="29" spans="1:17">
      <c r="A29" t="s">
        <v>48</v>
      </c>
      <c r="B29" t="s">
        <v>49</v>
      </c>
      <c r="C29" t="s">
        <v>29</v>
      </c>
      <c r="D29" s="2">
        <v>45355</v>
      </c>
      <c r="E29">
        <v>3800</v>
      </c>
      <c r="F29">
        <v>140</v>
      </c>
      <c r="G29">
        <v>14</v>
      </c>
      <c r="H29" s="3">
        <v>44</v>
      </c>
      <c r="I29" s="3">
        <v>120</v>
      </c>
      <c r="J29" t="s">
        <v>20</v>
      </c>
      <c r="K29" t="str">
        <f t="shared" si="0"/>
        <v>PAID</v>
      </c>
      <c r="L29" s="4">
        <f t="shared" si="4"/>
        <v>1.7272727272727273</v>
      </c>
      <c r="M29" s="4">
        <f t="shared" si="1"/>
        <v>2.7272727272727271</v>
      </c>
      <c r="N29" s="3">
        <f>IF(OR(H29=0, H29=""), "", (H29/G29))</f>
        <v>3.1428571428571428</v>
      </c>
      <c r="O29" s="3">
        <f>IF(OR(H29=0, H29=""), "", (H29/F29))</f>
        <v>0.31428571428571428</v>
      </c>
      <c r="P29" s="4">
        <f t="shared" si="2"/>
        <v>3.6842105263157891E-2</v>
      </c>
      <c r="Q29" s="4">
        <f t="shared" si="3"/>
        <v>0.1</v>
      </c>
    </row>
    <row r="30" spans="1:17">
      <c r="A30" t="s">
        <v>50</v>
      </c>
      <c r="B30" t="s">
        <v>51</v>
      </c>
      <c r="C30" t="s">
        <v>19</v>
      </c>
      <c r="D30" s="2">
        <v>45383</v>
      </c>
      <c r="E30">
        <v>4500</v>
      </c>
      <c r="F30">
        <v>400</v>
      </c>
      <c r="G30">
        <v>40</v>
      </c>
      <c r="H30" s="3">
        <v>85</v>
      </c>
      <c r="I30" s="3">
        <v>340</v>
      </c>
      <c r="J30" t="s">
        <v>20</v>
      </c>
      <c r="K30" t="str">
        <f t="shared" si="0"/>
        <v>PAID</v>
      </c>
      <c r="L30" s="4">
        <f t="shared" si="4"/>
        <v>3</v>
      </c>
      <c r="M30" s="4">
        <f t="shared" si="1"/>
        <v>4</v>
      </c>
      <c r="N30" s="3">
        <f>IF(OR(H30=0, H30=""), "", (H30/G30))</f>
        <v>2.125</v>
      </c>
      <c r="O30" s="3">
        <f>IF(OR(H30=0, H30=""), "", (H30/F30))</f>
        <v>0.21249999999999999</v>
      </c>
      <c r="P30" s="4">
        <f t="shared" si="2"/>
        <v>8.8888888888888892E-2</v>
      </c>
      <c r="Q30" s="4">
        <f t="shared" si="3"/>
        <v>0.1</v>
      </c>
    </row>
    <row r="31" spans="1:17">
      <c r="A31" t="s">
        <v>52</v>
      </c>
      <c r="B31" t="s">
        <v>53</v>
      </c>
      <c r="C31" t="s">
        <v>23</v>
      </c>
      <c r="D31" s="2">
        <v>45383</v>
      </c>
      <c r="E31">
        <v>7500</v>
      </c>
      <c r="F31">
        <v>690</v>
      </c>
      <c r="G31">
        <v>55</v>
      </c>
      <c r="H31" s="3">
        <v>250</v>
      </c>
      <c r="I31" s="3">
        <v>800</v>
      </c>
      <c r="J31" t="s">
        <v>20</v>
      </c>
      <c r="K31" t="str">
        <f t="shared" si="0"/>
        <v>PAID</v>
      </c>
      <c r="L31" s="4">
        <f t="shared" si="4"/>
        <v>2.2000000000000002</v>
      </c>
      <c r="M31" s="4">
        <f t="shared" si="1"/>
        <v>3.2</v>
      </c>
      <c r="N31" s="3">
        <f>IF(OR(H31=0, H31=""), "", (H31/G31))</f>
        <v>4.5454545454545459</v>
      </c>
      <c r="O31" s="3">
        <f>IF(OR(H31=0, H31=""), "", (H31/F31))</f>
        <v>0.36231884057971014</v>
      </c>
      <c r="P31" s="4">
        <f t="shared" si="2"/>
        <v>9.1999999999999998E-2</v>
      </c>
      <c r="Q31" s="4">
        <f t="shared" si="3"/>
        <v>7.9710144927536225E-2</v>
      </c>
    </row>
    <row r="32" spans="1:17">
      <c r="A32" t="s">
        <v>54</v>
      </c>
      <c r="B32" t="s">
        <v>55</v>
      </c>
      <c r="C32" t="s">
        <v>33</v>
      </c>
      <c r="D32" s="2">
        <v>45383</v>
      </c>
      <c r="E32">
        <v>8200</v>
      </c>
      <c r="F32">
        <v>610</v>
      </c>
      <c r="G32">
        <v>47</v>
      </c>
      <c r="H32" s="3">
        <v>225</v>
      </c>
      <c r="I32" s="3">
        <v>630</v>
      </c>
      <c r="J32" t="s">
        <v>20</v>
      </c>
      <c r="K32" t="str">
        <f t="shared" si="0"/>
        <v>PAID</v>
      </c>
      <c r="L32" s="4">
        <f t="shared" si="4"/>
        <v>1.8</v>
      </c>
      <c r="M32" s="4">
        <f t="shared" si="1"/>
        <v>2.8</v>
      </c>
      <c r="N32" s="3">
        <f>IF(OR(H32=0, H32=""), "", (H32/G32))</f>
        <v>4.7872340425531918</v>
      </c>
      <c r="O32" s="3">
        <f>IF(OR(H32=0, H32=""), "", (H32/F32))</f>
        <v>0.36885245901639346</v>
      </c>
      <c r="P32" s="4">
        <f t="shared" si="2"/>
        <v>7.4390243902439021E-2</v>
      </c>
      <c r="Q32" s="4">
        <f t="shared" si="3"/>
        <v>7.7049180327868852E-2</v>
      </c>
    </row>
    <row r="33" spans="1:17">
      <c r="A33" t="s">
        <v>56</v>
      </c>
      <c r="B33" t="s">
        <v>57</v>
      </c>
      <c r="C33" t="s">
        <v>34</v>
      </c>
      <c r="D33" s="2">
        <v>45383</v>
      </c>
      <c r="E33">
        <v>4100</v>
      </c>
      <c r="F33">
        <v>200</v>
      </c>
      <c r="G33">
        <v>30</v>
      </c>
      <c r="H33" s="3">
        <v>0</v>
      </c>
      <c r="I33" s="3">
        <v>290</v>
      </c>
      <c r="J33" t="s">
        <v>20</v>
      </c>
      <c r="K33" t="str">
        <f t="shared" si="0"/>
        <v>ORGANIC</v>
      </c>
      <c r="L33" s="4" t="str">
        <f t="shared" si="4"/>
        <v/>
      </c>
      <c r="M33" s="4" t="str">
        <f t="shared" si="1"/>
        <v/>
      </c>
      <c r="N33" s="3" t="str">
        <f>IF(OR(H33=0, H33=""), "", (H33/G33))</f>
        <v/>
      </c>
      <c r="O33" s="3" t="str">
        <f>IF(OR(H33=0, H33=""), "", (H33/F33))</f>
        <v/>
      </c>
      <c r="P33" s="4">
        <f t="shared" si="2"/>
        <v>4.878048780487805E-2</v>
      </c>
      <c r="Q33" s="4">
        <f t="shared" si="3"/>
        <v>0.15</v>
      </c>
    </row>
    <row r="34" spans="1:17">
      <c r="A34" t="s">
        <v>58</v>
      </c>
      <c r="B34" t="s">
        <v>59</v>
      </c>
      <c r="C34" t="s">
        <v>26</v>
      </c>
      <c r="D34" s="2">
        <v>45383</v>
      </c>
      <c r="E34">
        <v>14000</v>
      </c>
      <c r="F34">
        <v>480</v>
      </c>
      <c r="G34">
        <v>25</v>
      </c>
      <c r="H34" s="3">
        <v>180</v>
      </c>
      <c r="I34" s="3">
        <v>410</v>
      </c>
      <c r="J34" t="s">
        <v>20</v>
      </c>
      <c r="K34" t="str">
        <f t="shared" ref="K34:K65" si="5">IF(OR(H34=0, H34=""), "ORGANIC", "PAID")</f>
        <v>PAID</v>
      </c>
      <c r="L34" s="4">
        <f t="shared" ref="L34:L65" si="6">IF(OR(H34=0, H34=""), "", (I34-H34)/H34)</f>
        <v>1.2777777777777777</v>
      </c>
      <c r="M34" s="4">
        <f t="shared" ref="M34:M65" si="7">IF(OR(H34=0, H34=""), "", (I34/H34))</f>
        <v>2.2777777777777777</v>
      </c>
      <c r="N34" s="3">
        <f>IF(OR(H34=0, H34=""), "", (H34/G34))</f>
        <v>7.2</v>
      </c>
      <c r="O34" s="3">
        <f>IF(OR(H34=0, H34=""), "", (H34/F34))</f>
        <v>0.375</v>
      </c>
      <c r="P34" s="4">
        <f t="shared" ref="P34:P65" si="8">(F34/E34)</f>
        <v>3.4285714285714287E-2</v>
      </c>
      <c r="Q34" s="4">
        <f t="shared" ref="Q34:Q65" si="9">(G34/F34)</f>
        <v>5.2083333333333336E-2</v>
      </c>
    </row>
    <row r="35" spans="1:17">
      <c r="A35" t="s">
        <v>60</v>
      </c>
      <c r="B35" t="s">
        <v>61</v>
      </c>
      <c r="C35" t="s">
        <v>29</v>
      </c>
      <c r="D35" s="2">
        <v>45383</v>
      </c>
      <c r="E35">
        <v>3900</v>
      </c>
      <c r="F35">
        <v>150</v>
      </c>
      <c r="G35">
        <v>18</v>
      </c>
      <c r="H35" s="3">
        <v>60</v>
      </c>
      <c r="I35" s="3">
        <v>170</v>
      </c>
      <c r="J35" t="s">
        <v>20</v>
      </c>
      <c r="K35" t="str">
        <f t="shared" si="5"/>
        <v>PAID</v>
      </c>
      <c r="L35" s="4">
        <f t="shared" si="6"/>
        <v>1.8333333333333333</v>
      </c>
      <c r="M35" s="4">
        <f t="shared" si="7"/>
        <v>2.8333333333333335</v>
      </c>
      <c r="N35" s="3">
        <f>IF(OR(H35=0, H35=""), "", (H35/G35))</f>
        <v>3.3333333333333335</v>
      </c>
      <c r="O35" s="3">
        <f>IF(OR(H35=0, H35=""), "", (H35/F35))</f>
        <v>0.4</v>
      </c>
      <c r="P35" s="4">
        <f t="shared" si="8"/>
        <v>3.8461538461538464E-2</v>
      </c>
      <c r="Q35" s="4">
        <f t="shared" si="9"/>
        <v>0.12</v>
      </c>
    </row>
    <row r="36" spans="1:17">
      <c r="A36" t="s">
        <v>62</v>
      </c>
      <c r="B36" t="s">
        <v>63</v>
      </c>
      <c r="C36" t="s">
        <v>32</v>
      </c>
      <c r="D36" s="2">
        <v>45383</v>
      </c>
      <c r="E36">
        <v>1800</v>
      </c>
      <c r="F36">
        <v>85</v>
      </c>
      <c r="G36">
        <v>10</v>
      </c>
      <c r="H36" s="3">
        <v>0</v>
      </c>
      <c r="I36" s="3">
        <v>90</v>
      </c>
      <c r="J36" t="s">
        <v>20</v>
      </c>
      <c r="K36" t="str">
        <f t="shared" si="5"/>
        <v>ORGANIC</v>
      </c>
      <c r="L36" s="4" t="str">
        <f t="shared" si="6"/>
        <v/>
      </c>
      <c r="M36" s="4" t="str">
        <f t="shared" si="7"/>
        <v/>
      </c>
      <c r="N36" s="3" t="str">
        <f>IF(OR(H36=0, H36=""), "", (H36/G36))</f>
        <v/>
      </c>
      <c r="O36" s="3" t="str">
        <f>IF(OR(H36=0, H36=""), "", (H36/F36))</f>
        <v/>
      </c>
      <c r="P36" s="4">
        <f t="shared" si="8"/>
        <v>4.7222222222222221E-2</v>
      </c>
      <c r="Q36" s="4">
        <f t="shared" si="9"/>
        <v>0.11764705882352941</v>
      </c>
    </row>
    <row r="37" spans="1:17">
      <c r="A37" t="s">
        <v>50</v>
      </c>
      <c r="B37" t="s">
        <v>51</v>
      </c>
      <c r="C37" t="s">
        <v>35</v>
      </c>
      <c r="D37" s="2">
        <v>45383</v>
      </c>
      <c r="E37">
        <v>2000</v>
      </c>
      <c r="F37">
        <v>50</v>
      </c>
      <c r="G37">
        <v>6</v>
      </c>
      <c r="H37" s="3">
        <v>31</v>
      </c>
      <c r="I37" s="3">
        <v>48</v>
      </c>
      <c r="J37" t="s">
        <v>20</v>
      </c>
      <c r="K37" t="str">
        <f t="shared" si="5"/>
        <v>PAID</v>
      </c>
      <c r="L37" s="4">
        <f t="shared" si="6"/>
        <v>0.54838709677419351</v>
      </c>
      <c r="M37" s="4">
        <f t="shared" si="7"/>
        <v>1.5483870967741935</v>
      </c>
      <c r="N37" s="3">
        <f>IF(OR(H37=0, H37=""), "", (H37/G37))</f>
        <v>5.166666666666667</v>
      </c>
      <c r="O37" s="3">
        <f>IF(OR(H37=0, H37=""), "", (H37/F37))</f>
        <v>0.62</v>
      </c>
      <c r="P37" s="4">
        <f t="shared" si="8"/>
        <v>2.5000000000000001E-2</v>
      </c>
      <c r="Q37" s="4">
        <f t="shared" si="9"/>
        <v>0.12</v>
      </c>
    </row>
    <row r="38" spans="1:17">
      <c r="A38" t="s">
        <v>52</v>
      </c>
      <c r="B38" t="s">
        <v>53</v>
      </c>
      <c r="C38" t="s">
        <v>19</v>
      </c>
      <c r="D38" s="2">
        <v>45384</v>
      </c>
      <c r="E38">
        <v>5200</v>
      </c>
      <c r="F38">
        <v>410</v>
      </c>
      <c r="G38">
        <v>49</v>
      </c>
      <c r="H38" s="3">
        <v>88</v>
      </c>
      <c r="I38" s="3">
        <v>360</v>
      </c>
      <c r="J38" t="s">
        <v>20</v>
      </c>
      <c r="K38" t="str">
        <f t="shared" si="5"/>
        <v>PAID</v>
      </c>
      <c r="L38" s="4">
        <f t="shared" si="6"/>
        <v>3.0909090909090908</v>
      </c>
      <c r="M38" s="4">
        <f t="shared" si="7"/>
        <v>4.0909090909090908</v>
      </c>
      <c r="N38" s="3">
        <f>IF(OR(H38=0, H38=""), "", (H38/G38))</f>
        <v>1.7959183673469388</v>
      </c>
      <c r="O38" s="3">
        <f>IF(OR(H38=0, H38=""), "", (H38/F38))</f>
        <v>0.21463414634146341</v>
      </c>
      <c r="P38" s="4">
        <f t="shared" si="8"/>
        <v>7.8846153846153844E-2</v>
      </c>
      <c r="Q38" s="4">
        <f t="shared" si="9"/>
        <v>0.11951219512195121</v>
      </c>
    </row>
    <row r="39" spans="1:17">
      <c r="A39" t="s">
        <v>54</v>
      </c>
      <c r="B39" t="s">
        <v>55</v>
      </c>
      <c r="C39" t="s">
        <v>23</v>
      </c>
      <c r="D39" s="2">
        <v>45384</v>
      </c>
      <c r="E39">
        <v>9000</v>
      </c>
      <c r="F39">
        <v>700</v>
      </c>
      <c r="G39">
        <v>60</v>
      </c>
      <c r="H39" s="3">
        <v>260</v>
      </c>
      <c r="I39" s="3">
        <v>920</v>
      </c>
      <c r="J39" t="s">
        <v>20</v>
      </c>
      <c r="K39" t="str">
        <f t="shared" si="5"/>
        <v>PAID</v>
      </c>
      <c r="L39" s="4">
        <f t="shared" si="6"/>
        <v>2.5384615384615383</v>
      </c>
      <c r="M39" s="4">
        <f t="shared" si="7"/>
        <v>3.5384615384615383</v>
      </c>
      <c r="N39" s="3">
        <f>IF(OR(H39=0, H39=""), "", (H39/G39))</f>
        <v>4.333333333333333</v>
      </c>
      <c r="O39" s="3">
        <f>IF(OR(H39=0, H39=""), "", (H39/F39))</f>
        <v>0.37142857142857144</v>
      </c>
      <c r="P39" s="4">
        <f t="shared" si="8"/>
        <v>7.7777777777777779E-2</v>
      </c>
      <c r="Q39" s="4">
        <f t="shared" si="9"/>
        <v>8.5714285714285715E-2</v>
      </c>
    </row>
    <row r="40" spans="1:17">
      <c r="A40" t="s">
        <v>56</v>
      </c>
      <c r="B40" t="s">
        <v>57</v>
      </c>
      <c r="C40" t="s">
        <v>33</v>
      </c>
      <c r="D40" s="2">
        <v>45384</v>
      </c>
      <c r="E40">
        <v>6500</v>
      </c>
      <c r="F40">
        <v>490</v>
      </c>
      <c r="G40">
        <v>47</v>
      </c>
      <c r="H40" s="3">
        <v>190</v>
      </c>
      <c r="I40" s="3">
        <v>510</v>
      </c>
      <c r="J40" t="s">
        <v>20</v>
      </c>
      <c r="K40" t="str">
        <f t="shared" si="5"/>
        <v>PAID</v>
      </c>
      <c r="L40" s="4">
        <f t="shared" si="6"/>
        <v>1.6842105263157894</v>
      </c>
      <c r="M40" s="4">
        <f t="shared" si="7"/>
        <v>2.6842105263157894</v>
      </c>
      <c r="N40" s="3">
        <f>IF(OR(H40=0, H40=""), "", (H40/G40))</f>
        <v>4.042553191489362</v>
      </c>
      <c r="O40" s="3">
        <f>IF(OR(H40=0, H40=""), "", (H40/F40))</f>
        <v>0.38775510204081631</v>
      </c>
      <c r="P40" s="4">
        <f t="shared" si="8"/>
        <v>7.5384615384615383E-2</v>
      </c>
      <c r="Q40" s="4">
        <f t="shared" si="9"/>
        <v>9.5918367346938774E-2</v>
      </c>
    </row>
    <row r="41" spans="1:17">
      <c r="A41" t="s">
        <v>58</v>
      </c>
      <c r="B41" t="s">
        <v>59</v>
      </c>
      <c r="C41" t="s">
        <v>34</v>
      </c>
      <c r="D41" s="2">
        <v>45384</v>
      </c>
      <c r="E41">
        <v>3300</v>
      </c>
      <c r="F41">
        <v>135</v>
      </c>
      <c r="G41">
        <v>22</v>
      </c>
      <c r="H41" s="3">
        <v>0</v>
      </c>
      <c r="I41" s="3">
        <v>230</v>
      </c>
      <c r="J41" t="s">
        <v>20</v>
      </c>
      <c r="K41" t="str">
        <f t="shared" si="5"/>
        <v>ORGANIC</v>
      </c>
      <c r="L41" s="4" t="str">
        <f t="shared" si="6"/>
        <v/>
      </c>
      <c r="M41" s="4" t="str">
        <f t="shared" si="7"/>
        <v/>
      </c>
      <c r="N41" s="3" t="str">
        <f>IF(OR(H41=0, H41=""), "", (H41/G41))</f>
        <v/>
      </c>
      <c r="O41" s="3" t="str">
        <f>IF(OR(H41=0, H41=""), "", (H41/F41))</f>
        <v/>
      </c>
      <c r="P41" s="4">
        <f t="shared" si="8"/>
        <v>4.0909090909090909E-2</v>
      </c>
      <c r="Q41" s="4">
        <f t="shared" si="9"/>
        <v>0.16296296296296298</v>
      </c>
    </row>
    <row r="42" spans="1:17">
      <c r="A42" t="s">
        <v>60</v>
      </c>
      <c r="B42" t="s">
        <v>61</v>
      </c>
      <c r="C42" t="s">
        <v>26</v>
      </c>
      <c r="D42" s="2">
        <v>45384</v>
      </c>
      <c r="E42">
        <v>11000</v>
      </c>
      <c r="F42">
        <v>350</v>
      </c>
      <c r="G42">
        <v>20</v>
      </c>
      <c r="H42" s="3">
        <v>127</v>
      </c>
      <c r="I42" s="3">
        <v>210</v>
      </c>
      <c r="J42" t="s">
        <v>20</v>
      </c>
      <c r="K42" t="str">
        <f t="shared" si="5"/>
        <v>PAID</v>
      </c>
      <c r="L42" s="4">
        <f t="shared" si="6"/>
        <v>0.65354330708661412</v>
      </c>
      <c r="M42" s="4">
        <f t="shared" si="7"/>
        <v>1.6535433070866141</v>
      </c>
      <c r="N42" s="3">
        <f>IF(OR(H42=0, H42=""), "", (H42/G42))</f>
        <v>6.35</v>
      </c>
      <c r="O42" s="3">
        <f>IF(OR(H42=0, H42=""), "", (H42/F42))</f>
        <v>0.36285714285714288</v>
      </c>
      <c r="P42" s="4">
        <f t="shared" si="8"/>
        <v>3.1818181818181815E-2</v>
      </c>
      <c r="Q42" s="4">
        <f t="shared" si="9"/>
        <v>5.7142857142857141E-2</v>
      </c>
    </row>
    <row r="43" spans="1:17">
      <c r="A43" t="s">
        <v>62</v>
      </c>
      <c r="B43" t="s">
        <v>63</v>
      </c>
      <c r="C43" t="s">
        <v>29</v>
      </c>
      <c r="D43" s="2">
        <v>45384</v>
      </c>
      <c r="E43">
        <v>4200</v>
      </c>
      <c r="F43">
        <v>160</v>
      </c>
      <c r="G43">
        <v>16</v>
      </c>
      <c r="H43" s="3">
        <v>48</v>
      </c>
      <c r="I43" s="3">
        <v>130</v>
      </c>
      <c r="J43" t="s">
        <v>20</v>
      </c>
      <c r="K43" t="str">
        <f t="shared" si="5"/>
        <v>PAID</v>
      </c>
      <c r="L43" s="4">
        <f t="shared" si="6"/>
        <v>1.7083333333333333</v>
      </c>
      <c r="M43" s="4">
        <f t="shared" si="7"/>
        <v>2.7083333333333335</v>
      </c>
      <c r="N43" s="3">
        <f>IF(OR(H43=0, H43=""), "", (H43/G43))</f>
        <v>3</v>
      </c>
      <c r="O43" s="3">
        <f>IF(OR(H43=0, H43=""), "", (H43/F43))</f>
        <v>0.3</v>
      </c>
      <c r="P43" s="4">
        <f t="shared" si="8"/>
        <v>3.8095238095238099E-2</v>
      </c>
      <c r="Q43" s="4">
        <f t="shared" si="9"/>
        <v>0.1</v>
      </c>
    </row>
    <row r="44" spans="1:17">
      <c r="A44" t="s">
        <v>64</v>
      </c>
      <c r="B44" t="s">
        <v>65</v>
      </c>
      <c r="C44" t="s">
        <v>32</v>
      </c>
      <c r="D44" s="2">
        <v>45384</v>
      </c>
      <c r="E44">
        <v>1600</v>
      </c>
      <c r="F44">
        <v>68</v>
      </c>
      <c r="G44">
        <v>8</v>
      </c>
      <c r="H44" s="3">
        <v>0</v>
      </c>
      <c r="I44" s="3">
        <v>80</v>
      </c>
      <c r="J44" t="s">
        <v>20</v>
      </c>
      <c r="K44" t="str">
        <f t="shared" si="5"/>
        <v>ORGANIC</v>
      </c>
      <c r="L44" s="4" t="str">
        <f t="shared" si="6"/>
        <v/>
      </c>
      <c r="M44" s="4" t="str">
        <f t="shared" si="7"/>
        <v/>
      </c>
      <c r="N44" s="3" t="str">
        <f>IF(OR(H44=0, H44=""), "", (H44/G44))</f>
        <v/>
      </c>
      <c r="O44" s="3" t="str">
        <f>IF(OR(H44=0, H44=""), "", (H44/F44))</f>
        <v/>
      </c>
      <c r="P44" s="4">
        <f t="shared" si="8"/>
        <v>4.2500000000000003E-2</v>
      </c>
      <c r="Q44" s="4">
        <f t="shared" si="9"/>
        <v>0.11764705882352941</v>
      </c>
    </row>
    <row r="45" spans="1:17">
      <c r="A45" t="s">
        <v>52</v>
      </c>
      <c r="B45" t="s">
        <v>53</v>
      </c>
      <c r="C45" t="s">
        <v>33</v>
      </c>
      <c r="D45" s="2">
        <v>45385</v>
      </c>
      <c r="E45">
        <v>7100</v>
      </c>
      <c r="F45">
        <v>520</v>
      </c>
      <c r="G45">
        <v>48</v>
      </c>
      <c r="H45" s="3">
        <v>210</v>
      </c>
      <c r="I45" s="3">
        <v>540</v>
      </c>
      <c r="J45" t="s">
        <v>20</v>
      </c>
      <c r="K45" t="str">
        <f t="shared" si="5"/>
        <v>PAID</v>
      </c>
      <c r="L45" s="4">
        <f t="shared" si="6"/>
        <v>1.5714285714285714</v>
      </c>
      <c r="M45" s="4">
        <f t="shared" si="7"/>
        <v>2.5714285714285716</v>
      </c>
      <c r="N45" s="3">
        <f>IF(OR(H45=0, H45=""), "", (H45/G45))</f>
        <v>4.375</v>
      </c>
      <c r="O45" s="3">
        <f>IF(OR(H45=0, H45=""), "", (H45/F45))</f>
        <v>0.40384615384615385</v>
      </c>
      <c r="P45" s="4">
        <f t="shared" si="8"/>
        <v>7.3239436619718309E-2</v>
      </c>
      <c r="Q45" s="4">
        <f t="shared" si="9"/>
        <v>9.2307692307692313E-2</v>
      </c>
    </row>
    <row r="46" spans="1:17">
      <c r="A46" t="s">
        <v>54</v>
      </c>
      <c r="B46" t="s">
        <v>55</v>
      </c>
      <c r="C46" t="s">
        <v>34</v>
      </c>
      <c r="D46" s="2">
        <v>45385</v>
      </c>
      <c r="E46">
        <v>2500</v>
      </c>
      <c r="F46">
        <v>105</v>
      </c>
      <c r="G46">
        <v>16</v>
      </c>
      <c r="H46" s="3">
        <v>0</v>
      </c>
      <c r="I46" s="3">
        <v>150</v>
      </c>
      <c r="J46" t="s">
        <v>20</v>
      </c>
      <c r="K46" t="str">
        <f t="shared" si="5"/>
        <v>ORGANIC</v>
      </c>
      <c r="L46" s="4" t="str">
        <f t="shared" si="6"/>
        <v/>
      </c>
      <c r="M46" s="4" t="str">
        <f t="shared" si="7"/>
        <v/>
      </c>
      <c r="N46" s="3" t="str">
        <f>IF(OR(H46=0, H46=""), "", (H46/G46))</f>
        <v/>
      </c>
      <c r="O46" s="3" t="str">
        <f>IF(OR(H46=0, H46=""), "", (H46/F46))</f>
        <v/>
      </c>
      <c r="P46" s="4">
        <f t="shared" si="8"/>
        <v>4.2000000000000003E-2</v>
      </c>
      <c r="Q46" s="4">
        <f t="shared" si="9"/>
        <v>0.15238095238095239</v>
      </c>
    </row>
    <row r="47" spans="1:17">
      <c r="A47" t="s">
        <v>56</v>
      </c>
      <c r="B47" t="s">
        <v>57</v>
      </c>
      <c r="C47" t="s">
        <v>26</v>
      </c>
      <c r="D47" s="2">
        <v>45385</v>
      </c>
      <c r="E47">
        <v>9000</v>
      </c>
      <c r="F47">
        <v>310</v>
      </c>
      <c r="G47">
        <v>17</v>
      </c>
      <c r="H47" s="3">
        <v>106</v>
      </c>
      <c r="I47" s="3">
        <v>180</v>
      </c>
      <c r="J47" t="s">
        <v>20</v>
      </c>
      <c r="K47" t="str">
        <f t="shared" si="5"/>
        <v>PAID</v>
      </c>
      <c r="L47" s="4">
        <f t="shared" si="6"/>
        <v>0.69811320754716977</v>
      </c>
      <c r="M47" s="4">
        <f t="shared" si="7"/>
        <v>1.6981132075471699</v>
      </c>
      <c r="N47" s="3">
        <f>IF(OR(H47=0, H47=""), "", (H47/G47))</f>
        <v>6.2352941176470589</v>
      </c>
      <c r="O47" s="3">
        <f>IF(OR(H47=0, H47=""), "", (H47/F47))</f>
        <v>0.34193548387096773</v>
      </c>
      <c r="P47" s="4">
        <f t="shared" si="8"/>
        <v>3.4444444444444444E-2</v>
      </c>
      <c r="Q47" s="4">
        <f t="shared" si="9"/>
        <v>5.4838709677419356E-2</v>
      </c>
    </row>
    <row r="48" spans="1:17">
      <c r="A48" t="s">
        <v>58</v>
      </c>
      <c r="B48" t="s">
        <v>59</v>
      </c>
      <c r="C48" t="s">
        <v>29</v>
      </c>
      <c r="D48" s="2">
        <v>45385</v>
      </c>
      <c r="E48">
        <v>3400</v>
      </c>
      <c r="F48">
        <v>125</v>
      </c>
      <c r="G48">
        <v>14</v>
      </c>
      <c r="H48" s="3">
        <v>40</v>
      </c>
      <c r="I48" s="3">
        <v>120</v>
      </c>
      <c r="J48" t="s">
        <v>20</v>
      </c>
      <c r="K48" t="str">
        <f t="shared" si="5"/>
        <v>PAID</v>
      </c>
      <c r="L48" s="4">
        <f t="shared" si="6"/>
        <v>2</v>
      </c>
      <c r="M48" s="4">
        <f t="shared" si="7"/>
        <v>3</v>
      </c>
      <c r="N48" s="3">
        <f>IF(OR(H48=0, H48=""), "", (H48/G48))</f>
        <v>2.8571428571428572</v>
      </c>
      <c r="O48" s="3">
        <f>IF(OR(H48=0, H48=""), "", (H48/F48))</f>
        <v>0.32</v>
      </c>
      <c r="P48" s="4">
        <f t="shared" si="8"/>
        <v>3.6764705882352942E-2</v>
      </c>
      <c r="Q48" s="4">
        <f t="shared" si="9"/>
        <v>0.112</v>
      </c>
    </row>
    <row r="49" spans="1:17">
      <c r="A49" t="s">
        <v>60</v>
      </c>
      <c r="B49" t="s">
        <v>61</v>
      </c>
      <c r="C49" t="s">
        <v>32</v>
      </c>
      <c r="D49" s="2">
        <v>45385</v>
      </c>
      <c r="E49">
        <v>2300</v>
      </c>
      <c r="F49">
        <v>90</v>
      </c>
      <c r="G49">
        <v>11</v>
      </c>
      <c r="H49" s="3">
        <v>0</v>
      </c>
      <c r="I49" s="3">
        <v>110</v>
      </c>
      <c r="J49" t="s">
        <v>20</v>
      </c>
      <c r="K49" t="str">
        <f t="shared" si="5"/>
        <v>ORGANIC</v>
      </c>
      <c r="L49" s="4" t="str">
        <f t="shared" si="6"/>
        <v/>
      </c>
      <c r="M49" s="4" t="str">
        <f t="shared" si="7"/>
        <v/>
      </c>
      <c r="N49" s="3" t="str">
        <f>IF(OR(H49=0, H49=""), "", (H49/G49))</f>
        <v/>
      </c>
      <c r="O49" s="3" t="str">
        <f>IF(OR(H49=0, H49=""), "", (H49/F49))</f>
        <v/>
      </c>
      <c r="P49" s="4">
        <f t="shared" si="8"/>
        <v>3.9130434782608699E-2</v>
      </c>
      <c r="Q49" s="4">
        <f t="shared" si="9"/>
        <v>0.12222222222222222</v>
      </c>
    </row>
    <row r="50" spans="1:17">
      <c r="A50" t="s">
        <v>66</v>
      </c>
      <c r="B50" t="s">
        <v>67</v>
      </c>
      <c r="C50" t="s">
        <v>23</v>
      </c>
      <c r="D50" s="2">
        <v>45415</v>
      </c>
      <c r="E50">
        <v>23150</v>
      </c>
      <c r="F50">
        <v>1280</v>
      </c>
      <c r="G50">
        <v>122</v>
      </c>
      <c r="H50" s="3">
        <v>785.4</v>
      </c>
      <c r="I50" s="3">
        <v>1832</v>
      </c>
      <c r="J50" t="s">
        <v>20</v>
      </c>
      <c r="K50" t="str">
        <f t="shared" si="5"/>
        <v>PAID</v>
      </c>
      <c r="L50" s="4">
        <f t="shared" si="6"/>
        <v>1.3325693913929206</v>
      </c>
      <c r="M50" s="4">
        <f t="shared" si="7"/>
        <v>2.3325693913929211</v>
      </c>
      <c r="N50" s="3">
        <f>IF(OR(H50=0, H50=""), "", (H50/G50))</f>
        <v>6.4377049180327868</v>
      </c>
      <c r="O50" s="3">
        <f>IF(OR(H50=0, H50=""), "", (H50/F50))</f>
        <v>0.61359374999999994</v>
      </c>
      <c r="P50" s="4">
        <f t="shared" si="8"/>
        <v>5.529157667386609E-2</v>
      </c>
      <c r="Q50" s="4">
        <f t="shared" si="9"/>
        <v>9.5312499999999994E-2</v>
      </c>
    </row>
    <row r="51" spans="1:17">
      <c r="A51" t="s">
        <v>68</v>
      </c>
      <c r="B51" t="s">
        <v>69</v>
      </c>
      <c r="C51" t="s">
        <v>19</v>
      </c>
      <c r="D51" s="2">
        <v>45416</v>
      </c>
      <c r="E51">
        <v>8500</v>
      </c>
      <c r="F51">
        <v>400</v>
      </c>
      <c r="G51">
        <v>62</v>
      </c>
      <c r="H51" s="3">
        <v>270</v>
      </c>
      <c r="I51" s="3">
        <v>1100</v>
      </c>
      <c r="J51" t="s">
        <v>20</v>
      </c>
      <c r="K51" t="str">
        <f t="shared" si="5"/>
        <v>PAID</v>
      </c>
      <c r="L51" s="4">
        <f t="shared" si="6"/>
        <v>3.074074074074074</v>
      </c>
      <c r="M51" s="4">
        <f t="shared" si="7"/>
        <v>4.0740740740740744</v>
      </c>
      <c r="N51" s="3">
        <f>IF(OR(H51=0, H51=""), "", (H51/G51))</f>
        <v>4.354838709677419</v>
      </c>
      <c r="O51" s="3">
        <f>IF(OR(H51=0, H51=""), "", (H51/F51))</f>
        <v>0.67500000000000004</v>
      </c>
      <c r="P51" s="4">
        <f t="shared" si="8"/>
        <v>4.7058823529411764E-2</v>
      </c>
      <c r="Q51" s="4">
        <f t="shared" si="9"/>
        <v>0.155</v>
      </c>
    </row>
    <row r="52" spans="1:17">
      <c r="A52" t="s">
        <v>70</v>
      </c>
      <c r="B52" t="s">
        <v>71</v>
      </c>
      <c r="C52" t="s">
        <v>26</v>
      </c>
      <c r="D52" s="2">
        <v>45415</v>
      </c>
      <c r="E52">
        <v>18000</v>
      </c>
      <c r="F52">
        <v>900</v>
      </c>
      <c r="G52">
        <v>79</v>
      </c>
      <c r="H52" s="3">
        <v>925.5</v>
      </c>
      <c r="I52" s="3">
        <v>1750</v>
      </c>
      <c r="J52" t="s">
        <v>20</v>
      </c>
      <c r="K52" t="str">
        <f t="shared" si="5"/>
        <v>PAID</v>
      </c>
      <c r="L52" s="4">
        <f t="shared" si="6"/>
        <v>0.89086980010804973</v>
      </c>
      <c r="M52" s="4">
        <f t="shared" si="7"/>
        <v>1.8908698001080497</v>
      </c>
      <c r="N52" s="3">
        <f>IF(OR(H52=0, H52=""), "", (H52/G52))</f>
        <v>11.715189873417721</v>
      </c>
      <c r="O52" s="3">
        <f>IF(OR(H52=0, H52=""), "", (H52/F52))</f>
        <v>1.0283333333333333</v>
      </c>
      <c r="P52" s="4">
        <f t="shared" si="8"/>
        <v>0.05</v>
      </c>
      <c r="Q52" s="4">
        <f t="shared" si="9"/>
        <v>8.7777777777777774E-2</v>
      </c>
    </row>
    <row r="53" spans="1:17">
      <c r="A53" t="s">
        <v>72</v>
      </c>
      <c r="B53" t="s">
        <v>73</v>
      </c>
      <c r="C53" t="s">
        <v>33</v>
      </c>
      <c r="D53" s="2">
        <v>45414</v>
      </c>
      <c r="E53">
        <v>16000</v>
      </c>
      <c r="F53">
        <v>1250</v>
      </c>
      <c r="G53">
        <v>134</v>
      </c>
      <c r="H53" s="3">
        <v>1200</v>
      </c>
      <c r="I53" s="3">
        <v>3500</v>
      </c>
      <c r="J53" t="s">
        <v>20</v>
      </c>
      <c r="K53" t="str">
        <f t="shared" si="5"/>
        <v>PAID</v>
      </c>
      <c r="L53" s="4">
        <f t="shared" si="6"/>
        <v>1.9166666666666667</v>
      </c>
      <c r="M53" s="4">
        <f t="shared" si="7"/>
        <v>2.9166666666666665</v>
      </c>
      <c r="N53" s="3">
        <f>IF(OR(H53=0, H53=""), "", (H53/G53))</f>
        <v>8.9552238805970141</v>
      </c>
      <c r="O53" s="3">
        <f>IF(OR(H53=0, H53=""), "", (H53/F53))</f>
        <v>0.96</v>
      </c>
      <c r="P53" s="4">
        <f t="shared" si="8"/>
        <v>7.8125E-2</v>
      </c>
      <c r="Q53" s="4">
        <f t="shared" si="9"/>
        <v>0.1072</v>
      </c>
    </row>
    <row r="54" spans="1:17">
      <c r="A54" t="s">
        <v>74</v>
      </c>
      <c r="B54" t="s">
        <v>75</v>
      </c>
      <c r="C54" t="s">
        <v>34</v>
      </c>
      <c r="D54" s="2">
        <v>45415</v>
      </c>
      <c r="E54">
        <v>9200</v>
      </c>
      <c r="F54">
        <v>800</v>
      </c>
      <c r="G54">
        <v>48</v>
      </c>
      <c r="H54" s="3">
        <v>0</v>
      </c>
      <c r="I54" s="3">
        <v>1200</v>
      </c>
      <c r="J54" t="s">
        <v>20</v>
      </c>
      <c r="K54" t="str">
        <f t="shared" si="5"/>
        <v>ORGANIC</v>
      </c>
      <c r="L54" s="4" t="str">
        <f t="shared" si="6"/>
        <v/>
      </c>
      <c r="M54" s="4" t="str">
        <f t="shared" si="7"/>
        <v/>
      </c>
      <c r="N54" s="3" t="str">
        <f>IF(OR(H54=0, H54=""), "", (H54/G54))</f>
        <v/>
      </c>
      <c r="O54" s="3" t="str">
        <f>IF(OR(H54=0, H54=""), "", (H54/F54))</f>
        <v/>
      </c>
      <c r="P54" s="4">
        <f t="shared" si="8"/>
        <v>8.6956521739130432E-2</v>
      </c>
      <c r="Q54" s="4">
        <f t="shared" si="9"/>
        <v>0.06</v>
      </c>
    </row>
    <row r="55" spans="1:17">
      <c r="A55" t="s">
        <v>76</v>
      </c>
      <c r="B55" t="s">
        <v>77</v>
      </c>
      <c r="C55" t="s">
        <v>29</v>
      </c>
      <c r="D55" s="2">
        <v>45417</v>
      </c>
      <c r="E55">
        <v>12500</v>
      </c>
      <c r="F55">
        <v>620</v>
      </c>
      <c r="G55">
        <v>41</v>
      </c>
      <c r="H55" s="3">
        <v>410</v>
      </c>
      <c r="I55" s="3">
        <v>800</v>
      </c>
      <c r="J55" t="s">
        <v>20</v>
      </c>
      <c r="K55" t="str">
        <f t="shared" si="5"/>
        <v>PAID</v>
      </c>
      <c r="L55" s="4">
        <f t="shared" si="6"/>
        <v>0.95121951219512191</v>
      </c>
      <c r="M55" s="4">
        <f t="shared" si="7"/>
        <v>1.9512195121951219</v>
      </c>
      <c r="N55" s="3">
        <f>IF(OR(H55=0, H55=""), "", (H55/G55))</f>
        <v>10</v>
      </c>
      <c r="O55" s="3">
        <f>IF(OR(H55=0, H55=""), "", (H55/F55))</f>
        <v>0.66129032258064513</v>
      </c>
      <c r="P55" s="4">
        <f t="shared" si="8"/>
        <v>4.9599999999999998E-2</v>
      </c>
      <c r="Q55" s="4">
        <f t="shared" si="9"/>
        <v>6.6129032258064518E-2</v>
      </c>
    </row>
    <row r="56" spans="1:17">
      <c r="A56" t="s">
        <v>78</v>
      </c>
      <c r="B56" t="s">
        <v>79</v>
      </c>
      <c r="C56" t="s">
        <v>32</v>
      </c>
      <c r="D56" s="2">
        <v>45416</v>
      </c>
      <c r="E56">
        <v>6900</v>
      </c>
      <c r="F56">
        <v>410</v>
      </c>
      <c r="G56">
        <v>23</v>
      </c>
      <c r="H56" s="3">
        <v>0</v>
      </c>
      <c r="I56" s="3">
        <v>600</v>
      </c>
      <c r="J56" t="s">
        <v>20</v>
      </c>
      <c r="K56" t="str">
        <f t="shared" si="5"/>
        <v>ORGANIC</v>
      </c>
      <c r="L56" s="4" t="str">
        <f t="shared" si="6"/>
        <v/>
      </c>
      <c r="M56" s="4" t="str">
        <f t="shared" si="7"/>
        <v/>
      </c>
      <c r="N56" s="3" t="str">
        <f>IF(OR(H56=0, H56=""), "", (H56/G56))</f>
        <v/>
      </c>
      <c r="O56" s="3" t="str">
        <f>IF(OR(H56=0, H56=""), "", (H56/F56))</f>
        <v/>
      </c>
      <c r="P56" s="4">
        <f t="shared" si="8"/>
        <v>5.9420289855072465E-2</v>
      </c>
      <c r="Q56" s="4">
        <f t="shared" si="9"/>
        <v>5.6097560975609757E-2</v>
      </c>
    </row>
    <row r="57" spans="1:17">
      <c r="A57" t="s">
        <v>80</v>
      </c>
      <c r="B57" t="s">
        <v>81</v>
      </c>
      <c r="C57" t="s">
        <v>19</v>
      </c>
      <c r="D57" s="2">
        <v>45417</v>
      </c>
      <c r="E57">
        <v>5400</v>
      </c>
      <c r="F57">
        <v>330</v>
      </c>
      <c r="G57">
        <v>64</v>
      </c>
      <c r="H57" s="3">
        <v>170</v>
      </c>
      <c r="I57" s="3">
        <v>950</v>
      </c>
      <c r="J57" t="s">
        <v>20</v>
      </c>
      <c r="K57" t="str">
        <f t="shared" si="5"/>
        <v>PAID</v>
      </c>
      <c r="L57" s="4">
        <f t="shared" si="6"/>
        <v>4.5882352941176467</v>
      </c>
      <c r="M57" s="4">
        <f t="shared" si="7"/>
        <v>5.5882352941176467</v>
      </c>
      <c r="N57" s="3">
        <f>IF(OR(H57=0, H57=""), "", (H57/G57))</f>
        <v>2.65625</v>
      </c>
      <c r="O57" s="3">
        <f>IF(OR(H57=0, H57=""), "", (H57/F57))</f>
        <v>0.51515151515151514</v>
      </c>
      <c r="P57" s="4">
        <f t="shared" si="8"/>
        <v>6.1111111111111109E-2</v>
      </c>
      <c r="Q57" s="4">
        <f t="shared" si="9"/>
        <v>0.19393939393939394</v>
      </c>
    </row>
    <row r="58" spans="1:17">
      <c r="A58" t="s">
        <v>82</v>
      </c>
      <c r="B58" t="s">
        <v>83</v>
      </c>
      <c r="C58" t="s">
        <v>35</v>
      </c>
      <c r="D58" s="2">
        <v>45414</v>
      </c>
      <c r="E58">
        <v>3000</v>
      </c>
      <c r="F58">
        <v>145</v>
      </c>
      <c r="G58">
        <v>7</v>
      </c>
      <c r="H58" s="3">
        <v>55</v>
      </c>
      <c r="I58" s="3">
        <v>120</v>
      </c>
      <c r="J58" t="s">
        <v>20</v>
      </c>
      <c r="K58" t="str">
        <f t="shared" si="5"/>
        <v>PAID</v>
      </c>
      <c r="L58" s="4">
        <f t="shared" si="6"/>
        <v>1.1818181818181819</v>
      </c>
      <c r="M58" s="4">
        <f t="shared" si="7"/>
        <v>2.1818181818181817</v>
      </c>
      <c r="N58" s="3">
        <f>IF(OR(H58=0, H58=""), "", (H58/G58))</f>
        <v>7.8571428571428568</v>
      </c>
      <c r="O58" s="3">
        <f>IF(OR(H58=0, H58=""), "", (H58/F58))</f>
        <v>0.37931034482758619</v>
      </c>
      <c r="P58" s="4">
        <f t="shared" si="8"/>
        <v>4.8333333333333332E-2</v>
      </c>
      <c r="Q58" s="4">
        <f t="shared" si="9"/>
        <v>4.8275862068965517E-2</v>
      </c>
    </row>
    <row r="59" spans="1:17">
      <c r="A59" t="s">
        <v>84</v>
      </c>
      <c r="B59" t="s">
        <v>85</v>
      </c>
      <c r="C59" t="s">
        <v>23</v>
      </c>
      <c r="D59" s="2">
        <v>45418</v>
      </c>
      <c r="E59">
        <v>9800</v>
      </c>
      <c r="F59">
        <v>480</v>
      </c>
      <c r="G59">
        <v>50</v>
      </c>
      <c r="H59" s="3">
        <v>330</v>
      </c>
      <c r="I59" s="3">
        <v>850</v>
      </c>
      <c r="J59" t="s">
        <v>20</v>
      </c>
      <c r="K59" t="str">
        <f t="shared" si="5"/>
        <v>PAID</v>
      </c>
      <c r="L59" s="4">
        <f t="shared" si="6"/>
        <v>1.5757575757575757</v>
      </c>
      <c r="M59" s="4">
        <f t="shared" si="7"/>
        <v>2.5757575757575757</v>
      </c>
      <c r="N59" s="3">
        <f>IF(OR(H59=0, H59=""), "", (H59/G59))</f>
        <v>6.6</v>
      </c>
      <c r="O59" s="3">
        <f>IF(OR(H59=0, H59=""), "", (H59/F59))</f>
        <v>0.6875</v>
      </c>
      <c r="P59" s="4">
        <f t="shared" si="8"/>
        <v>4.8979591836734691E-2</v>
      </c>
      <c r="Q59" s="4">
        <f t="shared" si="9"/>
        <v>0.10416666666666667</v>
      </c>
    </row>
    <row r="60" spans="1:17">
      <c r="A60" t="s">
        <v>86</v>
      </c>
      <c r="B60" t="s">
        <v>87</v>
      </c>
      <c r="C60" t="s">
        <v>26</v>
      </c>
      <c r="D60" s="2">
        <v>45418</v>
      </c>
      <c r="E60">
        <v>15200</v>
      </c>
      <c r="F60">
        <v>760</v>
      </c>
      <c r="G60">
        <v>70</v>
      </c>
      <c r="H60" s="3">
        <v>710</v>
      </c>
      <c r="I60" s="3">
        <v>1400</v>
      </c>
      <c r="J60" t="s">
        <v>20</v>
      </c>
      <c r="K60" t="str">
        <f t="shared" si="5"/>
        <v>PAID</v>
      </c>
      <c r="L60" s="4">
        <f t="shared" si="6"/>
        <v>0.971830985915493</v>
      </c>
      <c r="M60" s="4">
        <f t="shared" si="7"/>
        <v>1.971830985915493</v>
      </c>
      <c r="N60" s="3">
        <f>IF(OR(H60=0, H60=""), "", (H60/G60))</f>
        <v>10.142857142857142</v>
      </c>
      <c r="O60" s="3">
        <f>IF(OR(H60=0, H60=""), "", (H60/F60))</f>
        <v>0.93421052631578949</v>
      </c>
      <c r="P60" s="4">
        <f t="shared" si="8"/>
        <v>0.05</v>
      </c>
      <c r="Q60" s="4">
        <f t="shared" si="9"/>
        <v>9.2105263157894732E-2</v>
      </c>
    </row>
    <row r="61" spans="1:17">
      <c r="A61" t="s">
        <v>88</v>
      </c>
      <c r="B61" t="s">
        <v>89</v>
      </c>
      <c r="C61" t="s">
        <v>32</v>
      </c>
      <c r="D61" s="2">
        <v>45419</v>
      </c>
      <c r="E61">
        <v>5900</v>
      </c>
      <c r="F61">
        <v>295</v>
      </c>
      <c r="G61">
        <v>16</v>
      </c>
      <c r="H61" s="3">
        <v>0</v>
      </c>
      <c r="I61" s="3">
        <v>300</v>
      </c>
      <c r="J61" t="s">
        <v>20</v>
      </c>
      <c r="K61" t="str">
        <f t="shared" si="5"/>
        <v>ORGANIC</v>
      </c>
      <c r="L61" s="4" t="str">
        <f t="shared" si="6"/>
        <v/>
      </c>
      <c r="M61" s="4" t="str">
        <f t="shared" si="7"/>
        <v/>
      </c>
      <c r="N61" s="3" t="str">
        <f>IF(OR(H61=0, H61=""), "", (H61/G61))</f>
        <v/>
      </c>
      <c r="O61" s="3" t="str">
        <f>IF(OR(H61=0, H61=""), "", (H61/F61))</f>
        <v/>
      </c>
      <c r="P61" s="4">
        <f t="shared" si="8"/>
        <v>0.05</v>
      </c>
      <c r="Q61" s="4">
        <f t="shared" si="9"/>
        <v>5.4237288135593219E-2</v>
      </c>
    </row>
    <row r="62" spans="1:17">
      <c r="A62" t="s">
        <v>68</v>
      </c>
      <c r="B62" t="s">
        <v>69</v>
      </c>
      <c r="C62" t="s">
        <v>33</v>
      </c>
      <c r="D62" s="2">
        <v>45420</v>
      </c>
      <c r="E62">
        <v>15500</v>
      </c>
      <c r="F62">
        <v>1100</v>
      </c>
      <c r="G62">
        <v>129</v>
      </c>
      <c r="H62" s="3">
        <v>980</v>
      </c>
      <c r="I62" s="3">
        <v>2800</v>
      </c>
      <c r="J62" t="s">
        <v>20</v>
      </c>
      <c r="K62" t="str">
        <f t="shared" si="5"/>
        <v>PAID</v>
      </c>
      <c r="L62" s="4">
        <f t="shared" si="6"/>
        <v>1.8571428571428572</v>
      </c>
      <c r="M62" s="4">
        <f t="shared" si="7"/>
        <v>2.8571428571428572</v>
      </c>
      <c r="N62" s="3">
        <f>IF(OR(H62=0, H62=""), "", (H62/G62))</f>
        <v>7.5968992248062017</v>
      </c>
      <c r="O62" s="3">
        <f>IF(OR(H62=0, H62=""), "", (H62/F62))</f>
        <v>0.89090909090909087</v>
      </c>
      <c r="P62" s="4">
        <f t="shared" si="8"/>
        <v>7.0967741935483872E-2</v>
      </c>
      <c r="Q62" s="4">
        <f t="shared" si="9"/>
        <v>0.11727272727272728</v>
      </c>
    </row>
    <row r="63" spans="1:17">
      <c r="A63" t="s">
        <v>66</v>
      </c>
      <c r="B63" t="s">
        <v>67</v>
      </c>
      <c r="C63" t="s">
        <v>29</v>
      </c>
      <c r="D63" s="2">
        <v>45420</v>
      </c>
      <c r="E63">
        <v>6200</v>
      </c>
      <c r="F63">
        <v>290</v>
      </c>
      <c r="G63">
        <v>19</v>
      </c>
      <c r="H63" s="3">
        <v>200</v>
      </c>
      <c r="I63" s="3">
        <v>410</v>
      </c>
      <c r="J63" t="s">
        <v>20</v>
      </c>
      <c r="K63" t="str">
        <f t="shared" si="5"/>
        <v>PAID</v>
      </c>
      <c r="L63" s="4">
        <f t="shared" si="6"/>
        <v>1.05</v>
      </c>
      <c r="M63" s="4">
        <f t="shared" si="7"/>
        <v>2.0499999999999998</v>
      </c>
      <c r="N63" s="3">
        <f>IF(OR(H63=0, H63=""), "", (H63/G63))</f>
        <v>10.526315789473685</v>
      </c>
      <c r="O63" s="3">
        <f>IF(OR(H63=0, H63=""), "", (H63/F63))</f>
        <v>0.68965517241379315</v>
      </c>
      <c r="P63" s="4">
        <f t="shared" si="8"/>
        <v>4.6774193548387098E-2</v>
      </c>
      <c r="Q63" s="4">
        <f t="shared" si="9"/>
        <v>6.5517241379310351E-2</v>
      </c>
    </row>
    <row r="64" spans="1:17">
      <c r="A64" t="s">
        <v>70</v>
      </c>
      <c r="B64" t="s">
        <v>71</v>
      </c>
      <c r="C64" t="s">
        <v>23</v>
      </c>
      <c r="D64" s="2">
        <v>45422</v>
      </c>
      <c r="E64">
        <v>14400</v>
      </c>
      <c r="F64">
        <v>920</v>
      </c>
      <c r="G64">
        <v>102</v>
      </c>
      <c r="H64" s="3">
        <v>720</v>
      </c>
      <c r="I64" s="3">
        <v>1850</v>
      </c>
      <c r="J64" t="s">
        <v>20</v>
      </c>
      <c r="K64" t="str">
        <f t="shared" si="5"/>
        <v>PAID</v>
      </c>
      <c r="L64" s="4">
        <f t="shared" si="6"/>
        <v>1.5694444444444444</v>
      </c>
      <c r="M64" s="4">
        <f t="shared" si="7"/>
        <v>2.5694444444444446</v>
      </c>
      <c r="N64" s="3">
        <f>IF(OR(H64=0, H64=""), "", (H64/G64))</f>
        <v>7.0588235294117645</v>
      </c>
      <c r="O64" s="3">
        <f>IF(OR(H64=0, H64=""), "", (H64/F64))</f>
        <v>0.78260869565217395</v>
      </c>
      <c r="P64" s="4">
        <f t="shared" si="8"/>
        <v>6.3888888888888884E-2</v>
      </c>
      <c r="Q64" s="4">
        <f t="shared" si="9"/>
        <v>0.1108695652173913</v>
      </c>
    </row>
    <row r="65" spans="1:17">
      <c r="A65" t="s">
        <v>74</v>
      </c>
      <c r="B65" t="s">
        <v>75</v>
      </c>
      <c r="C65" t="s">
        <v>34</v>
      </c>
      <c r="D65" s="2">
        <v>45423</v>
      </c>
      <c r="E65">
        <v>9900</v>
      </c>
      <c r="F65">
        <v>850</v>
      </c>
      <c r="G65">
        <v>54</v>
      </c>
      <c r="H65" s="3">
        <v>0</v>
      </c>
      <c r="I65" s="3">
        <v>1350</v>
      </c>
      <c r="J65" t="s">
        <v>20</v>
      </c>
      <c r="K65" t="str">
        <f t="shared" si="5"/>
        <v>ORGANIC</v>
      </c>
      <c r="L65" s="4" t="str">
        <f t="shared" si="6"/>
        <v/>
      </c>
      <c r="M65" s="4" t="str">
        <f t="shared" si="7"/>
        <v/>
      </c>
      <c r="N65" s="3" t="str">
        <f>IF(OR(H65=0, H65=""), "", (H65/G65))</f>
        <v/>
      </c>
      <c r="O65" s="3" t="str">
        <f>IF(OR(H65=0, H65=""), "", (H65/F65))</f>
        <v/>
      </c>
      <c r="P65" s="4">
        <f t="shared" si="8"/>
        <v>8.5858585858585856E-2</v>
      </c>
      <c r="Q65" s="4">
        <f t="shared" si="9"/>
        <v>6.3529411764705876E-2</v>
      </c>
    </row>
    <row r="66" spans="1:17">
      <c r="A66" t="s">
        <v>72</v>
      </c>
      <c r="B66" t="s">
        <v>73</v>
      </c>
      <c r="C66" t="s">
        <v>26</v>
      </c>
      <c r="D66" s="2">
        <v>45424</v>
      </c>
      <c r="E66">
        <v>13100</v>
      </c>
      <c r="F66">
        <v>710</v>
      </c>
      <c r="G66">
        <v>79</v>
      </c>
      <c r="H66" s="3">
        <v>600</v>
      </c>
      <c r="I66" s="3">
        <v>1450</v>
      </c>
      <c r="J66" t="s">
        <v>20</v>
      </c>
      <c r="K66" t="str">
        <f t="shared" ref="K66:K94" si="10">IF(OR(H66=0, H66=""), "ORGANIC", "PAID")</f>
        <v>PAID</v>
      </c>
      <c r="L66" s="4">
        <f t="shared" ref="L66:L94" si="11">IF(OR(H66=0, H66=""), "", (I66-H66)/H66)</f>
        <v>1.4166666666666667</v>
      </c>
      <c r="M66" s="4">
        <f t="shared" ref="M66:M94" si="12">IF(OR(H66=0, H66=""), "", (I66/H66))</f>
        <v>2.4166666666666665</v>
      </c>
      <c r="N66" s="3">
        <f>IF(OR(H66=0, H66=""), "", (H66/G66))</f>
        <v>7.5949367088607591</v>
      </c>
      <c r="O66" s="3">
        <f>IF(OR(H66=0, H66=""), "", (H66/F66))</f>
        <v>0.84507042253521125</v>
      </c>
      <c r="P66" s="4">
        <f t="shared" ref="P66:P94" si="13">(F66/E66)</f>
        <v>5.4198473282442747E-2</v>
      </c>
      <c r="Q66" s="4">
        <f t="shared" ref="Q66:Q94" si="14">(G66/F66)</f>
        <v>0.11126760563380282</v>
      </c>
    </row>
    <row r="67" spans="1:17">
      <c r="A67" t="s">
        <v>76</v>
      </c>
      <c r="B67" t="s">
        <v>77</v>
      </c>
      <c r="C67" t="s">
        <v>33</v>
      </c>
      <c r="D67" s="2">
        <v>45425</v>
      </c>
      <c r="E67">
        <v>17500</v>
      </c>
      <c r="F67">
        <v>1120</v>
      </c>
      <c r="G67">
        <v>138</v>
      </c>
      <c r="H67" s="3">
        <v>1150</v>
      </c>
      <c r="I67" s="3">
        <v>3250</v>
      </c>
      <c r="J67" t="s">
        <v>20</v>
      </c>
      <c r="K67" t="str">
        <f t="shared" si="10"/>
        <v>PAID</v>
      </c>
      <c r="L67" s="4">
        <f t="shared" si="11"/>
        <v>1.826086956521739</v>
      </c>
      <c r="M67" s="4">
        <f t="shared" si="12"/>
        <v>2.8260869565217392</v>
      </c>
      <c r="N67" s="3">
        <f>IF(OR(H67=0, H67=""), "", (H67/G67))</f>
        <v>8.3333333333333339</v>
      </c>
      <c r="O67" s="3">
        <f>IF(OR(H67=0, H67=""), "", (H67/F67))</f>
        <v>1.0267857142857142</v>
      </c>
      <c r="P67" s="4">
        <f t="shared" si="13"/>
        <v>6.4000000000000001E-2</v>
      </c>
      <c r="Q67" s="4">
        <f t="shared" si="14"/>
        <v>0.12321428571428572</v>
      </c>
    </row>
    <row r="68" spans="1:17">
      <c r="A68" t="s">
        <v>78</v>
      </c>
      <c r="B68" t="s">
        <v>79</v>
      </c>
      <c r="C68" t="s">
        <v>35</v>
      </c>
      <c r="D68" s="2">
        <v>45426</v>
      </c>
      <c r="E68">
        <v>4200</v>
      </c>
      <c r="F68">
        <v>210</v>
      </c>
      <c r="G68">
        <v>14</v>
      </c>
      <c r="H68" s="3">
        <v>48</v>
      </c>
      <c r="I68" s="3">
        <v>90</v>
      </c>
      <c r="J68" t="s">
        <v>20</v>
      </c>
      <c r="K68" t="str">
        <f t="shared" si="10"/>
        <v>PAID</v>
      </c>
      <c r="L68" s="4">
        <f t="shared" si="11"/>
        <v>0.875</v>
      </c>
      <c r="M68" s="4">
        <f t="shared" si="12"/>
        <v>1.875</v>
      </c>
      <c r="N68" s="3">
        <f>IF(OR(H68=0, H68=""), "", (H68/G68))</f>
        <v>3.4285714285714284</v>
      </c>
      <c r="O68" s="3">
        <f>IF(OR(H68=0, H68=""), "", (H68/F68))</f>
        <v>0.22857142857142856</v>
      </c>
      <c r="P68" s="4">
        <f t="shared" si="13"/>
        <v>0.05</v>
      </c>
      <c r="Q68" s="4">
        <f t="shared" si="14"/>
        <v>6.6666666666666666E-2</v>
      </c>
    </row>
    <row r="69" spans="1:17">
      <c r="A69" t="s">
        <v>80</v>
      </c>
      <c r="B69" t="s">
        <v>81</v>
      </c>
      <c r="C69" t="s">
        <v>19</v>
      </c>
      <c r="D69" s="2">
        <v>45427</v>
      </c>
      <c r="E69">
        <v>6200</v>
      </c>
      <c r="F69">
        <v>430</v>
      </c>
      <c r="G69">
        <v>86</v>
      </c>
      <c r="H69" s="3">
        <v>190</v>
      </c>
      <c r="I69" s="3">
        <v>1120</v>
      </c>
      <c r="J69" t="s">
        <v>20</v>
      </c>
      <c r="K69" t="str">
        <f t="shared" si="10"/>
        <v>PAID</v>
      </c>
      <c r="L69" s="4">
        <f t="shared" si="11"/>
        <v>4.8947368421052628</v>
      </c>
      <c r="M69" s="4">
        <f t="shared" si="12"/>
        <v>5.8947368421052628</v>
      </c>
      <c r="N69" s="3">
        <f>IF(OR(H69=0, H69=""), "", (H69/G69))</f>
        <v>2.2093023255813953</v>
      </c>
      <c r="O69" s="3">
        <f>IF(OR(H69=0, H69=""), "", (H69/F69))</f>
        <v>0.44186046511627908</v>
      </c>
      <c r="P69" s="4">
        <f t="shared" si="13"/>
        <v>6.9354838709677416E-2</v>
      </c>
      <c r="Q69" s="4">
        <f t="shared" si="14"/>
        <v>0.2</v>
      </c>
    </row>
    <row r="70" spans="1:17">
      <c r="A70" t="s">
        <v>82</v>
      </c>
      <c r="B70" t="s">
        <v>83</v>
      </c>
      <c r="C70" t="s">
        <v>32</v>
      </c>
      <c r="D70" s="2">
        <v>45428</v>
      </c>
      <c r="E70">
        <v>3100</v>
      </c>
      <c r="F70">
        <v>158</v>
      </c>
      <c r="G70">
        <v>8</v>
      </c>
      <c r="H70" s="3">
        <v>0</v>
      </c>
      <c r="I70" s="3">
        <v>130</v>
      </c>
      <c r="J70" t="s">
        <v>20</v>
      </c>
      <c r="K70" t="str">
        <f t="shared" si="10"/>
        <v>ORGANIC</v>
      </c>
      <c r="L70" s="4" t="str">
        <f t="shared" si="11"/>
        <v/>
      </c>
      <c r="M70" s="4" t="str">
        <f t="shared" si="12"/>
        <v/>
      </c>
      <c r="N70" s="3" t="str">
        <f>IF(OR(H70=0, H70=""), "", (H70/G70))</f>
        <v/>
      </c>
      <c r="O70" s="3" t="str">
        <f>IF(OR(H70=0, H70=""), "", (H70/F70))</f>
        <v/>
      </c>
      <c r="P70" s="4">
        <f t="shared" si="13"/>
        <v>5.0967741935483868E-2</v>
      </c>
      <c r="Q70" s="4">
        <f t="shared" si="14"/>
        <v>5.0632911392405063E-2</v>
      </c>
    </row>
    <row r="71" spans="1:17">
      <c r="A71" t="s">
        <v>84</v>
      </c>
      <c r="B71" t="s">
        <v>85</v>
      </c>
      <c r="C71" t="s">
        <v>29</v>
      </c>
      <c r="D71" s="2">
        <v>45430</v>
      </c>
      <c r="E71">
        <v>7900</v>
      </c>
      <c r="F71">
        <v>410</v>
      </c>
      <c r="G71">
        <v>34</v>
      </c>
      <c r="H71" s="3">
        <v>250</v>
      </c>
      <c r="I71" s="3">
        <v>480</v>
      </c>
      <c r="J71" t="s">
        <v>20</v>
      </c>
      <c r="K71" t="str">
        <f t="shared" si="10"/>
        <v>PAID</v>
      </c>
      <c r="L71" s="4">
        <f t="shared" si="11"/>
        <v>0.92</v>
      </c>
      <c r="M71" s="4">
        <f t="shared" si="12"/>
        <v>1.92</v>
      </c>
      <c r="N71" s="3">
        <f>IF(OR(H71=0, H71=""), "", (H71/G71))</f>
        <v>7.3529411764705879</v>
      </c>
      <c r="O71" s="3">
        <f>IF(OR(H71=0, H71=""), "", (H71/F71))</f>
        <v>0.6097560975609756</v>
      </c>
      <c r="P71" s="4">
        <f t="shared" si="13"/>
        <v>5.1898734177215189E-2</v>
      </c>
      <c r="Q71" s="4">
        <f t="shared" si="14"/>
        <v>8.2926829268292687E-2</v>
      </c>
    </row>
    <row r="72" spans="1:17">
      <c r="A72" t="s">
        <v>86</v>
      </c>
      <c r="B72" t="s">
        <v>87</v>
      </c>
      <c r="C72" t="s">
        <v>33</v>
      </c>
      <c r="D72" s="2">
        <v>45431</v>
      </c>
      <c r="E72">
        <v>15800</v>
      </c>
      <c r="F72">
        <v>980</v>
      </c>
      <c r="G72">
        <v>109</v>
      </c>
      <c r="H72" s="3">
        <v>920</v>
      </c>
      <c r="I72" s="3">
        <v>2550</v>
      </c>
      <c r="J72" t="s">
        <v>20</v>
      </c>
      <c r="K72" t="str">
        <f t="shared" si="10"/>
        <v>PAID</v>
      </c>
      <c r="L72" s="4">
        <f t="shared" si="11"/>
        <v>1.7717391304347827</v>
      </c>
      <c r="M72" s="4">
        <f t="shared" si="12"/>
        <v>2.7717391304347827</v>
      </c>
      <c r="N72" s="3">
        <f>IF(OR(H72=0, H72=""), "", (H72/G72))</f>
        <v>8.4403669724770634</v>
      </c>
      <c r="O72" s="3">
        <f>IF(OR(H72=0, H72=""), "", (H72/F72))</f>
        <v>0.93877551020408168</v>
      </c>
      <c r="P72" s="4">
        <f t="shared" si="13"/>
        <v>6.20253164556962E-2</v>
      </c>
      <c r="Q72" s="4">
        <f t="shared" si="14"/>
        <v>0.11122448979591837</v>
      </c>
    </row>
    <row r="73" spans="1:17">
      <c r="A73" t="s">
        <v>88</v>
      </c>
      <c r="B73" t="s">
        <v>89</v>
      </c>
      <c r="C73" t="s">
        <v>26</v>
      </c>
      <c r="D73" s="2">
        <v>45431</v>
      </c>
      <c r="E73">
        <v>11700</v>
      </c>
      <c r="F73">
        <v>590</v>
      </c>
      <c r="G73">
        <v>56</v>
      </c>
      <c r="H73" s="3">
        <v>400</v>
      </c>
      <c r="I73" s="3">
        <v>950</v>
      </c>
      <c r="J73" t="s">
        <v>20</v>
      </c>
      <c r="K73" t="str">
        <f t="shared" si="10"/>
        <v>PAID</v>
      </c>
      <c r="L73" s="4">
        <f t="shared" si="11"/>
        <v>1.375</v>
      </c>
      <c r="M73" s="4">
        <f t="shared" si="12"/>
        <v>2.375</v>
      </c>
      <c r="N73" s="3">
        <f>IF(OR(H73=0, H73=""), "", (H73/G73))</f>
        <v>7.1428571428571432</v>
      </c>
      <c r="O73" s="3">
        <f>IF(OR(H73=0, H73=""), "", (H73/F73))</f>
        <v>0.67796610169491522</v>
      </c>
      <c r="P73" s="4">
        <f t="shared" si="13"/>
        <v>5.0427350427350429E-2</v>
      </c>
      <c r="Q73" s="4">
        <f t="shared" si="14"/>
        <v>9.4915254237288138E-2</v>
      </c>
    </row>
    <row r="74" spans="1:17">
      <c r="A74" t="s">
        <v>68</v>
      </c>
      <c r="B74" t="s">
        <v>69</v>
      </c>
      <c r="C74" t="s">
        <v>34</v>
      </c>
      <c r="D74" s="2">
        <v>45432</v>
      </c>
      <c r="E74">
        <v>11200</v>
      </c>
      <c r="F74">
        <v>860</v>
      </c>
      <c r="G74">
        <v>58</v>
      </c>
      <c r="H74" s="3">
        <v>0</v>
      </c>
      <c r="I74" s="3">
        <v>1400</v>
      </c>
      <c r="J74" t="s">
        <v>20</v>
      </c>
      <c r="K74" t="str">
        <f t="shared" si="10"/>
        <v>ORGANIC</v>
      </c>
      <c r="L74" s="4" t="str">
        <f t="shared" si="11"/>
        <v/>
      </c>
      <c r="M74" s="4" t="str">
        <f t="shared" si="12"/>
        <v/>
      </c>
      <c r="N74" s="3" t="str">
        <f>IF(OR(H74=0, H74=""), "", (H74/G74))</f>
        <v/>
      </c>
      <c r="O74" s="3" t="str">
        <f>IF(OR(H74=0, H74=""), "", (H74/F74))</f>
        <v/>
      </c>
      <c r="P74" s="4">
        <f t="shared" si="13"/>
        <v>7.678571428571429E-2</v>
      </c>
      <c r="Q74" s="4">
        <f t="shared" si="14"/>
        <v>6.7441860465116285E-2</v>
      </c>
    </row>
    <row r="75" spans="1:17">
      <c r="A75" t="s">
        <v>66</v>
      </c>
      <c r="B75" t="s">
        <v>67</v>
      </c>
      <c r="C75" t="s">
        <v>23</v>
      </c>
      <c r="D75" s="2">
        <v>45433</v>
      </c>
      <c r="E75">
        <v>16060</v>
      </c>
      <c r="F75">
        <v>900</v>
      </c>
      <c r="G75">
        <v>90</v>
      </c>
      <c r="H75" s="3">
        <v>520</v>
      </c>
      <c r="I75" s="3">
        <v>1400</v>
      </c>
      <c r="J75" t="s">
        <v>20</v>
      </c>
      <c r="K75" t="str">
        <f t="shared" si="10"/>
        <v>PAID</v>
      </c>
      <c r="L75" s="4">
        <f t="shared" si="11"/>
        <v>1.6923076923076923</v>
      </c>
      <c r="M75" s="4">
        <f t="shared" si="12"/>
        <v>2.6923076923076925</v>
      </c>
      <c r="N75" s="3">
        <f>IF(OR(H75=0, H75=""), "", (H75/G75))</f>
        <v>5.7777777777777777</v>
      </c>
      <c r="O75" s="3">
        <f>IF(OR(H75=0, H75=""), "", (H75/F75))</f>
        <v>0.57777777777777772</v>
      </c>
      <c r="P75" s="4">
        <f t="shared" si="13"/>
        <v>5.6039850560398508E-2</v>
      </c>
      <c r="Q75" s="4">
        <f t="shared" si="14"/>
        <v>0.1</v>
      </c>
    </row>
    <row r="76" spans="1:17">
      <c r="A76" t="s">
        <v>70</v>
      </c>
      <c r="B76" t="s">
        <v>71</v>
      </c>
      <c r="C76" t="s">
        <v>35</v>
      </c>
      <c r="D76" s="2">
        <v>45433</v>
      </c>
      <c r="E76">
        <v>4600</v>
      </c>
      <c r="F76">
        <v>198</v>
      </c>
      <c r="G76">
        <v>10</v>
      </c>
      <c r="H76" s="3">
        <v>34</v>
      </c>
      <c r="I76" s="3">
        <v>73</v>
      </c>
      <c r="J76" t="s">
        <v>20</v>
      </c>
      <c r="K76" t="str">
        <f t="shared" si="10"/>
        <v>PAID</v>
      </c>
      <c r="L76" s="4">
        <f t="shared" si="11"/>
        <v>1.1470588235294117</v>
      </c>
      <c r="M76" s="4">
        <f t="shared" si="12"/>
        <v>2.1470588235294117</v>
      </c>
      <c r="N76" s="3">
        <f>IF(OR(H76=0, H76=""), "", (H76/G76))</f>
        <v>3.4</v>
      </c>
      <c r="O76" s="3">
        <f>IF(OR(H76=0, H76=""), "", (H76/F76))</f>
        <v>0.17171717171717171</v>
      </c>
      <c r="P76" s="4">
        <f t="shared" si="13"/>
        <v>4.3043478260869565E-2</v>
      </c>
      <c r="Q76" s="4">
        <f t="shared" si="14"/>
        <v>5.0505050505050504E-2</v>
      </c>
    </row>
    <row r="77" spans="1:17">
      <c r="A77" t="s">
        <v>72</v>
      </c>
      <c r="B77" t="s">
        <v>73</v>
      </c>
      <c r="C77" t="s">
        <v>19</v>
      </c>
      <c r="D77" s="2">
        <v>45434</v>
      </c>
      <c r="E77">
        <v>8600</v>
      </c>
      <c r="F77">
        <v>495</v>
      </c>
      <c r="G77">
        <v>77</v>
      </c>
      <c r="H77" s="3">
        <v>215</v>
      </c>
      <c r="I77" s="3">
        <v>960</v>
      </c>
      <c r="J77" t="s">
        <v>20</v>
      </c>
      <c r="K77" t="str">
        <f t="shared" si="10"/>
        <v>PAID</v>
      </c>
      <c r="L77" s="4">
        <f t="shared" si="11"/>
        <v>3.4651162790697674</v>
      </c>
      <c r="M77" s="4">
        <f t="shared" si="12"/>
        <v>4.4651162790697674</v>
      </c>
      <c r="N77" s="3">
        <f>IF(OR(H77=0, H77=""), "", (H77/G77))</f>
        <v>2.7922077922077921</v>
      </c>
      <c r="O77" s="3">
        <f>IF(OR(H77=0, H77=""), "", (H77/F77))</f>
        <v>0.43434343434343436</v>
      </c>
      <c r="P77" s="4">
        <f t="shared" si="13"/>
        <v>5.7558139534883722E-2</v>
      </c>
      <c r="Q77" s="4">
        <f t="shared" si="14"/>
        <v>0.15555555555555556</v>
      </c>
    </row>
    <row r="78" spans="1:17">
      <c r="A78" t="s">
        <v>76</v>
      </c>
      <c r="B78" t="s">
        <v>77</v>
      </c>
      <c r="C78" t="s">
        <v>32</v>
      </c>
      <c r="D78" s="2">
        <v>45434</v>
      </c>
      <c r="E78">
        <v>4800</v>
      </c>
      <c r="F78">
        <v>220</v>
      </c>
      <c r="G78">
        <v>13</v>
      </c>
      <c r="H78" s="3">
        <v>0</v>
      </c>
      <c r="I78" s="3">
        <v>280</v>
      </c>
      <c r="J78" t="s">
        <v>20</v>
      </c>
      <c r="K78" t="str">
        <f t="shared" si="10"/>
        <v>ORGANIC</v>
      </c>
      <c r="L78" s="4" t="str">
        <f t="shared" si="11"/>
        <v/>
      </c>
      <c r="M78" s="4" t="str">
        <f t="shared" si="12"/>
        <v/>
      </c>
      <c r="N78" s="3" t="str">
        <f>IF(OR(H78=0, H78=""), "", (H78/G78))</f>
        <v/>
      </c>
      <c r="O78" s="3" t="str">
        <f>IF(OR(H78=0, H78=""), "", (H78/F78))</f>
        <v/>
      </c>
      <c r="P78" s="4">
        <f t="shared" si="13"/>
        <v>4.583333333333333E-2</v>
      </c>
      <c r="Q78" s="4">
        <f t="shared" si="14"/>
        <v>5.909090909090909E-2</v>
      </c>
    </row>
    <row r="79" spans="1:17">
      <c r="A79" t="s">
        <v>78</v>
      </c>
      <c r="B79" t="s">
        <v>79</v>
      </c>
      <c r="C79" t="s">
        <v>33</v>
      </c>
      <c r="D79" s="2">
        <v>45435</v>
      </c>
      <c r="E79">
        <v>13900</v>
      </c>
      <c r="F79">
        <v>780</v>
      </c>
      <c r="G79">
        <v>85</v>
      </c>
      <c r="H79" s="3">
        <v>800</v>
      </c>
      <c r="I79" s="3">
        <v>1750</v>
      </c>
      <c r="J79" t="s">
        <v>20</v>
      </c>
      <c r="K79" t="str">
        <f t="shared" si="10"/>
        <v>PAID</v>
      </c>
      <c r="L79" s="4">
        <f t="shared" si="11"/>
        <v>1.1875</v>
      </c>
      <c r="M79" s="4">
        <f t="shared" si="12"/>
        <v>2.1875</v>
      </c>
      <c r="N79" s="3">
        <f>IF(OR(H79=0, H79=""), "", (H79/G79))</f>
        <v>9.4117647058823533</v>
      </c>
      <c r="O79" s="3">
        <f>IF(OR(H79=0, H79=""), "", (H79/F79))</f>
        <v>1.0256410256410255</v>
      </c>
      <c r="P79" s="4">
        <f t="shared" si="13"/>
        <v>5.6115107913669061E-2</v>
      </c>
      <c r="Q79" s="4">
        <f t="shared" si="14"/>
        <v>0.10897435897435898</v>
      </c>
    </row>
    <row r="80" spans="1:17">
      <c r="A80" t="s">
        <v>80</v>
      </c>
      <c r="B80" t="s">
        <v>81</v>
      </c>
      <c r="C80" t="s">
        <v>23</v>
      </c>
      <c r="D80" s="2">
        <v>45435</v>
      </c>
      <c r="E80">
        <v>11300</v>
      </c>
      <c r="F80">
        <v>580</v>
      </c>
      <c r="G80">
        <v>68</v>
      </c>
      <c r="H80" s="3">
        <v>360</v>
      </c>
      <c r="I80" s="3">
        <v>1050</v>
      </c>
      <c r="J80" t="s">
        <v>20</v>
      </c>
      <c r="K80" t="str">
        <f t="shared" si="10"/>
        <v>PAID</v>
      </c>
      <c r="L80" s="4">
        <f t="shared" si="11"/>
        <v>1.9166666666666667</v>
      </c>
      <c r="M80" s="4">
        <f t="shared" si="12"/>
        <v>2.9166666666666665</v>
      </c>
      <c r="N80" s="3">
        <f>IF(OR(H80=0, H80=""), "", (H80/G80))</f>
        <v>5.2941176470588234</v>
      </c>
      <c r="O80" s="3">
        <f>IF(OR(H80=0, H80=""), "", (H80/F80))</f>
        <v>0.62068965517241381</v>
      </c>
      <c r="P80" s="4">
        <f t="shared" si="13"/>
        <v>5.1327433628318583E-2</v>
      </c>
      <c r="Q80" s="4">
        <f t="shared" si="14"/>
        <v>0.11724137931034483</v>
      </c>
    </row>
    <row r="81" spans="1:17">
      <c r="A81" t="s">
        <v>82</v>
      </c>
      <c r="B81" t="s">
        <v>83</v>
      </c>
      <c r="C81" t="s">
        <v>29</v>
      </c>
      <c r="D81" s="2">
        <v>45436</v>
      </c>
      <c r="E81">
        <v>4200</v>
      </c>
      <c r="F81">
        <v>185</v>
      </c>
      <c r="G81">
        <v>12</v>
      </c>
      <c r="H81" s="3">
        <v>94</v>
      </c>
      <c r="I81" s="3">
        <v>160</v>
      </c>
      <c r="J81" t="s">
        <v>20</v>
      </c>
      <c r="K81" t="str">
        <f t="shared" si="10"/>
        <v>PAID</v>
      </c>
      <c r="L81" s="4">
        <f t="shared" si="11"/>
        <v>0.7021276595744681</v>
      </c>
      <c r="M81" s="4">
        <f t="shared" si="12"/>
        <v>1.7021276595744681</v>
      </c>
      <c r="N81" s="3">
        <f>IF(OR(H81=0, H81=""), "", (H81/G81))</f>
        <v>7.833333333333333</v>
      </c>
      <c r="O81" s="3">
        <f>IF(OR(H81=0, H81=""), "", (H81/F81))</f>
        <v>0.50810810810810814</v>
      </c>
      <c r="P81" s="4">
        <f t="shared" si="13"/>
        <v>4.4047619047619051E-2</v>
      </c>
      <c r="Q81" s="4">
        <f t="shared" si="14"/>
        <v>6.4864864864864868E-2</v>
      </c>
    </row>
    <row r="82" spans="1:17">
      <c r="A82" t="s">
        <v>84</v>
      </c>
      <c r="B82" t="s">
        <v>85</v>
      </c>
      <c r="C82" t="s">
        <v>26</v>
      </c>
      <c r="D82" s="2">
        <v>45437</v>
      </c>
      <c r="E82">
        <v>9600</v>
      </c>
      <c r="F82">
        <v>430</v>
      </c>
      <c r="G82">
        <v>38</v>
      </c>
      <c r="H82" s="3">
        <v>270</v>
      </c>
      <c r="I82" s="3">
        <v>530</v>
      </c>
      <c r="J82" t="s">
        <v>20</v>
      </c>
      <c r="K82" t="str">
        <f t="shared" si="10"/>
        <v>PAID</v>
      </c>
      <c r="L82" s="4">
        <f t="shared" si="11"/>
        <v>0.96296296296296291</v>
      </c>
      <c r="M82" s="4">
        <f t="shared" si="12"/>
        <v>1.962962962962963</v>
      </c>
      <c r="N82" s="3">
        <f>IF(OR(H82=0, H82=""), "", (H82/G82))</f>
        <v>7.1052631578947372</v>
      </c>
      <c r="O82" s="3">
        <f>IF(OR(H82=0, H82=""), "", (H82/F82))</f>
        <v>0.62790697674418605</v>
      </c>
      <c r="P82" s="4">
        <f t="shared" si="13"/>
        <v>4.4791666666666667E-2</v>
      </c>
      <c r="Q82" s="4">
        <f t="shared" si="14"/>
        <v>8.8372093023255813E-2</v>
      </c>
    </row>
    <row r="83" spans="1:17">
      <c r="A83" t="s">
        <v>86</v>
      </c>
      <c r="B83" t="s">
        <v>87</v>
      </c>
      <c r="C83" t="s">
        <v>35</v>
      </c>
      <c r="D83" s="2">
        <v>45437</v>
      </c>
      <c r="E83">
        <v>3200</v>
      </c>
      <c r="F83">
        <v>120</v>
      </c>
      <c r="G83">
        <v>8</v>
      </c>
      <c r="H83" s="3">
        <v>30</v>
      </c>
      <c r="I83" s="3">
        <v>63</v>
      </c>
      <c r="J83" t="s">
        <v>20</v>
      </c>
      <c r="K83" t="str">
        <f t="shared" si="10"/>
        <v>PAID</v>
      </c>
      <c r="L83" s="4">
        <f t="shared" si="11"/>
        <v>1.1000000000000001</v>
      </c>
      <c r="M83" s="4">
        <f t="shared" si="12"/>
        <v>2.1</v>
      </c>
      <c r="N83" s="3">
        <f>IF(OR(H83=0, H83=""), "", (H83/G83))</f>
        <v>3.75</v>
      </c>
      <c r="O83" s="3">
        <f>IF(OR(H83=0, H83=""), "", (H83/F83))</f>
        <v>0.25</v>
      </c>
      <c r="P83" s="4">
        <f t="shared" si="13"/>
        <v>3.7499999999999999E-2</v>
      </c>
      <c r="Q83" s="4">
        <f t="shared" si="14"/>
        <v>6.6666666666666666E-2</v>
      </c>
    </row>
    <row r="84" spans="1:17">
      <c r="A84" t="s">
        <v>88</v>
      </c>
      <c r="B84" t="s">
        <v>89</v>
      </c>
      <c r="C84" t="s">
        <v>19</v>
      </c>
      <c r="D84" s="2">
        <v>45438</v>
      </c>
      <c r="E84">
        <v>5700</v>
      </c>
      <c r="F84">
        <v>310</v>
      </c>
      <c r="G84">
        <v>31</v>
      </c>
      <c r="H84" s="3">
        <v>92</v>
      </c>
      <c r="I84" s="3">
        <v>310</v>
      </c>
      <c r="J84" t="s">
        <v>20</v>
      </c>
      <c r="K84" t="str">
        <f t="shared" si="10"/>
        <v>PAID</v>
      </c>
      <c r="L84" s="4">
        <f t="shared" si="11"/>
        <v>2.3695652173913042</v>
      </c>
      <c r="M84" s="4">
        <f t="shared" si="12"/>
        <v>3.3695652173913042</v>
      </c>
      <c r="N84" s="3">
        <f>IF(OR(H84=0, H84=""), "", (H84/G84))</f>
        <v>2.967741935483871</v>
      </c>
      <c r="O84" s="3">
        <f>IF(OR(H84=0, H84=""), "", (H84/F84))</f>
        <v>0.29677419354838708</v>
      </c>
      <c r="P84" s="4">
        <f t="shared" si="13"/>
        <v>5.4385964912280704E-2</v>
      </c>
      <c r="Q84" s="4">
        <f t="shared" si="14"/>
        <v>0.1</v>
      </c>
    </row>
    <row r="85" spans="1:17">
      <c r="A85" t="s">
        <v>68</v>
      </c>
      <c r="B85" t="s">
        <v>69</v>
      </c>
      <c r="C85" t="s">
        <v>32</v>
      </c>
      <c r="D85" s="2">
        <v>45438</v>
      </c>
      <c r="E85">
        <v>5900</v>
      </c>
      <c r="F85">
        <v>260</v>
      </c>
      <c r="G85">
        <v>14</v>
      </c>
      <c r="H85" s="3">
        <v>0</v>
      </c>
      <c r="I85" s="3">
        <v>210</v>
      </c>
      <c r="J85" t="s">
        <v>20</v>
      </c>
      <c r="K85" t="str">
        <f t="shared" si="10"/>
        <v>ORGANIC</v>
      </c>
      <c r="L85" s="4" t="str">
        <f t="shared" si="11"/>
        <v/>
      </c>
      <c r="M85" s="4" t="str">
        <f t="shared" si="12"/>
        <v/>
      </c>
      <c r="N85" s="3" t="str">
        <f>IF(OR(H85=0, H85=""), "", (H85/G85))</f>
        <v/>
      </c>
      <c r="O85" s="3" t="str">
        <f>IF(OR(H85=0, H85=""), "", (H85/F85))</f>
        <v/>
      </c>
      <c r="P85" s="4">
        <f t="shared" si="13"/>
        <v>4.4067796610169491E-2</v>
      </c>
      <c r="Q85" s="4">
        <f t="shared" si="14"/>
        <v>5.3846153846153849E-2</v>
      </c>
    </row>
    <row r="86" spans="1:17">
      <c r="A86" t="s">
        <v>66</v>
      </c>
      <c r="B86" t="s">
        <v>67</v>
      </c>
      <c r="C86" t="s">
        <v>33</v>
      </c>
      <c r="D86" s="2">
        <v>45439</v>
      </c>
      <c r="E86">
        <v>12000</v>
      </c>
      <c r="F86">
        <v>970</v>
      </c>
      <c r="G86">
        <v>120</v>
      </c>
      <c r="H86" s="3">
        <v>895</v>
      </c>
      <c r="I86" s="3">
        <v>2400</v>
      </c>
      <c r="J86" t="s">
        <v>20</v>
      </c>
      <c r="K86" t="str">
        <f t="shared" si="10"/>
        <v>PAID</v>
      </c>
      <c r="L86" s="4">
        <f t="shared" si="11"/>
        <v>1.6815642458100559</v>
      </c>
      <c r="M86" s="4">
        <f t="shared" si="12"/>
        <v>2.6815642458100557</v>
      </c>
      <c r="N86" s="3">
        <f>IF(OR(H86=0, H86=""), "", (H86/G86))</f>
        <v>7.458333333333333</v>
      </c>
      <c r="O86" s="3">
        <f>IF(OR(H86=0, H86=""), "", (H86/F86))</f>
        <v>0.92268041237113407</v>
      </c>
      <c r="P86" s="4">
        <f t="shared" si="13"/>
        <v>8.0833333333333326E-2</v>
      </c>
      <c r="Q86" s="4">
        <f t="shared" si="14"/>
        <v>0.12371134020618557</v>
      </c>
    </row>
    <row r="87" spans="1:17">
      <c r="A87" t="s">
        <v>70</v>
      </c>
      <c r="B87" t="s">
        <v>71</v>
      </c>
      <c r="C87" t="s">
        <v>34</v>
      </c>
      <c r="D87" s="2">
        <v>45439</v>
      </c>
      <c r="E87">
        <v>10500</v>
      </c>
      <c r="F87">
        <v>770</v>
      </c>
      <c r="G87">
        <v>53</v>
      </c>
      <c r="H87" s="3">
        <v>0</v>
      </c>
      <c r="I87" s="3">
        <v>1150</v>
      </c>
      <c r="J87" t="s">
        <v>20</v>
      </c>
      <c r="K87" t="str">
        <f t="shared" si="10"/>
        <v>ORGANIC</v>
      </c>
      <c r="L87" s="4" t="str">
        <f t="shared" si="11"/>
        <v/>
      </c>
      <c r="M87" s="4" t="str">
        <f t="shared" si="12"/>
        <v/>
      </c>
      <c r="N87" s="3" t="str">
        <f>IF(OR(H87=0, H87=""), "", (H87/G87))</f>
        <v/>
      </c>
      <c r="O87" s="3" t="str">
        <f>IF(OR(H87=0, H87=""), "", (H87/F87))</f>
        <v/>
      </c>
      <c r="P87" s="4">
        <f t="shared" si="13"/>
        <v>7.3333333333333334E-2</v>
      </c>
      <c r="Q87" s="4">
        <f t="shared" si="14"/>
        <v>6.8831168831168826E-2</v>
      </c>
    </row>
    <row r="88" spans="1:17">
      <c r="A88" t="s">
        <v>72</v>
      </c>
      <c r="B88" t="s">
        <v>73</v>
      </c>
      <c r="C88" t="s">
        <v>23</v>
      </c>
      <c r="D88" s="2">
        <v>45440</v>
      </c>
      <c r="E88">
        <v>15700</v>
      </c>
      <c r="F88">
        <v>1080</v>
      </c>
      <c r="G88">
        <v>112</v>
      </c>
      <c r="H88" s="3">
        <v>670</v>
      </c>
      <c r="I88" s="3">
        <v>1750</v>
      </c>
      <c r="J88" t="s">
        <v>20</v>
      </c>
      <c r="K88" t="str">
        <f t="shared" si="10"/>
        <v>PAID</v>
      </c>
      <c r="L88" s="4">
        <f t="shared" si="11"/>
        <v>1.6119402985074627</v>
      </c>
      <c r="M88" s="4">
        <f t="shared" si="12"/>
        <v>2.6119402985074629</v>
      </c>
      <c r="N88" s="3">
        <f>IF(OR(H88=0, H88=""), "", (H88/G88))</f>
        <v>5.9821428571428568</v>
      </c>
      <c r="O88" s="3">
        <f>IF(OR(H88=0, H88=""), "", (H88/F88))</f>
        <v>0.62037037037037035</v>
      </c>
      <c r="P88" s="4">
        <f t="shared" si="13"/>
        <v>6.8789808917197451E-2</v>
      </c>
      <c r="Q88" s="4">
        <f t="shared" si="14"/>
        <v>0.1037037037037037</v>
      </c>
    </row>
    <row r="89" spans="1:17">
      <c r="A89" t="s">
        <v>76</v>
      </c>
      <c r="B89" t="s">
        <v>77</v>
      </c>
      <c r="C89" t="s">
        <v>26</v>
      </c>
      <c r="D89" s="2">
        <v>45440</v>
      </c>
      <c r="E89">
        <v>12600</v>
      </c>
      <c r="F89">
        <v>610</v>
      </c>
      <c r="G89">
        <v>52</v>
      </c>
      <c r="H89" s="3">
        <v>470</v>
      </c>
      <c r="I89" s="3">
        <v>900</v>
      </c>
      <c r="J89" t="s">
        <v>20</v>
      </c>
      <c r="K89" t="str">
        <f t="shared" si="10"/>
        <v>PAID</v>
      </c>
      <c r="L89" s="4">
        <f t="shared" si="11"/>
        <v>0.91489361702127658</v>
      </c>
      <c r="M89" s="4">
        <f t="shared" si="12"/>
        <v>1.9148936170212767</v>
      </c>
      <c r="N89" s="3">
        <f>IF(OR(H89=0, H89=""), "", (H89/G89))</f>
        <v>9.0384615384615383</v>
      </c>
      <c r="O89" s="3">
        <f>IF(OR(H89=0, H89=""), "", (H89/F89))</f>
        <v>0.77049180327868849</v>
      </c>
      <c r="P89" s="4">
        <f t="shared" si="13"/>
        <v>4.8412698412698414E-2</v>
      </c>
      <c r="Q89" s="4">
        <f t="shared" si="14"/>
        <v>8.5245901639344257E-2</v>
      </c>
    </row>
    <row r="90" spans="1:17">
      <c r="A90" t="s">
        <v>78</v>
      </c>
      <c r="B90" t="s">
        <v>79</v>
      </c>
      <c r="C90" t="s">
        <v>29</v>
      </c>
      <c r="D90" s="2">
        <v>45441</v>
      </c>
      <c r="E90">
        <v>5100</v>
      </c>
      <c r="F90">
        <v>312</v>
      </c>
      <c r="G90">
        <v>23</v>
      </c>
      <c r="H90" s="3">
        <v>121</v>
      </c>
      <c r="I90" s="3">
        <v>190</v>
      </c>
      <c r="J90" t="s">
        <v>20</v>
      </c>
      <c r="K90" t="str">
        <f t="shared" si="10"/>
        <v>PAID</v>
      </c>
      <c r="L90" s="4">
        <f t="shared" si="11"/>
        <v>0.57024793388429751</v>
      </c>
      <c r="M90" s="4">
        <f t="shared" si="12"/>
        <v>1.5702479338842976</v>
      </c>
      <c r="N90" s="3">
        <f>IF(OR(H90=0, H90=""), "", (H90/G90))</f>
        <v>5.2608695652173916</v>
      </c>
      <c r="O90" s="3">
        <f>IF(OR(H90=0, H90=""), "", (H90/F90))</f>
        <v>0.38782051282051283</v>
      </c>
      <c r="P90" s="4">
        <f t="shared" si="13"/>
        <v>6.1176470588235297E-2</v>
      </c>
      <c r="Q90" s="4">
        <f t="shared" si="14"/>
        <v>7.371794871794872E-2</v>
      </c>
    </row>
    <row r="91" spans="1:17">
      <c r="A91" t="s">
        <v>80</v>
      </c>
      <c r="B91" t="s">
        <v>81</v>
      </c>
      <c r="C91" t="s">
        <v>33</v>
      </c>
      <c r="D91" s="2">
        <v>45441</v>
      </c>
      <c r="E91">
        <v>8900</v>
      </c>
      <c r="F91">
        <v>620</v>
      </c>
      <c r="G91">
        <v>69</v>
      </c>
      <c r="H91" s="3">
        <v>540</v>
      </c>
      <c r="I91" s="3">
        <v>1360</v>
      </c>
      <c r="J91" t="s">
        <v>20</v>
      </c>
      <c r="K91" t="str">
        <f t="shared" si="10"/>
        <v>PAID</v>
      </c>
      <c r="L91" s="4">
        <f t="shared" si="11"/>
        <v>1.5185185185185186</v>
      </c>
      <c r="M91" s="4">
        <f t="shared" si="12"/>
        <v>2.5185185185185186</v>
      </c>
      <c r="N91" s="3">
        <f>IF(OR(H91=0, H91=""), "", (H91/G91))</f>
        <v>7.8260869565217392</v>
      </c>
      <c r="O91" s="3">
        <f>IF(OR(H91=0, H91=""), "", (H91/F91))</f>
        <v>0.87096774193548387</v>
      </c>
      <c r="P91" s="4">
        <f t="shared" si="13"/>
        <v>6.9662921348314602E-2</v>
      </c>
      <c r="Q91" s="4">
        <f t="shared" si="14"/>
        <v>0.11129032258064517</v>
      </c>
    </row>
    <row r="92" spans="1:17">
      <c r="A92" t="s">
        <v>82</v>
      </c>
      <c r="B92" t="s">
        <v>83</v>
      </c>
      <c r="C92" t="s">
        <v>23</v>
      </c>
      <c r="D92" s="2">
        <v>45442</v>
      </c>
      <c r="E92">
        <v>6200</v>
      </c>
      <c r="F92">
        <v>350</v>
      </c>
      <c r="G92">
        <v>38</v>
      </c>
      <c r="H92" s="3">
        <v>210</v>
      </c>
      <c r="I92" s="3">
        <v>440</v>
      </c>
      <c r="J92" t="s">
        <v>20</v>
      </c>
      <c r="K92" t="str">
        <f t="shared" si="10"/>
        <v>PAID</v>
      </c>
      <c r="L92" s="4">
        <f t="shared" si="11"/>
        <v>1.0952380952380953</v>
      </c>
      <c r="M92" s="4">
        <f t="shared" si="12"/>
        <v>2.0952380952380953</v>
      </c>
      <c r="N92" s="3">
        <f>IF(OR(H92=0, H92=""), "", (H92/G92))</f>
        <v>5.5263157894736841</v>
      </c>
      <c r="O92" s="3">
        <f>IF(OR(H92=0, H92=""), "", (H92/F92))</f>
        <v>0.6</v>
      </c>
      <c r="P92" s="4">
        <f t="shared" si="13"/>
        <v>5.6451612903225805E-2</v>
      </c>
      <c r="Q92" s="4">
        <f t="shared" si="14"/>
        <v>0.10857142857142857</v>
      </c>
    </row>
    <row r="93" spans="1:17">
      <c r="A93" t="s">
        <v>84</v>
      </c>
      <c r="B93" t="s">
        <v>85</v>
      </c>
      <c r="C93" t="s">
        <v>19</v>
      </c>
      <c r="D93" s="2">
        <v>45442</v>
      </c>
      <c r="E93">
        <v>5400</v>
      </c>
      <c r="F93">
        <v>320</v>
      </c>
      <c r="G93">
        <v>52</v>
      </c>
      <c r="H93" s="3">
        <v>128</v>
      </c>
      <c r="I93" s="3">
        <v>430</v>
      </c>
      <c r="J93" t="s">
        <v>20</v>
      </c>
      <c r="K93" t="str">
        <f t="shared" si="10"/>
        <v>PAID</v>
      </c>
      <c r="L93" s="4">
        <f t="shared" si="11"/>
        <v>2.359375</v>
      </c>
      <c r="M93" s="4">
        <f t="shared" si="12"/>
        <v>3.359375</v>
      </c>
      <c r="N93" s="3">
        <f>IF(OR(H93=0, H93=""), "", (H93/G93))</f>
        <v>2.4615384615384617</v>
      </c>
      <c r="O93" s="3">
        <f>IF(OR(H93=0, H93=""), "", (H93/F93))</f>
        <v>0.4</v>
      </c>
      <c r="P93" s="4">
        <f t="shared" si="13"/>
        <v>5.9259259259259262E-2</v>
      </c>
      <c r="Q93" s="4">
        <f t="shared" si="14"/>
        <v>0.16250000000000001</v>
      </c>
    </row>
    <row r="94" spans="1:17">
      <c r="A94" t="s">
        <v>86</v>
      </c>
      <c r="B94" t="s">
        <v>87</v>
      </c>
      <c r="C94" t="s">
        <v>32</v>
      </c>
      <c r="D94" s="2">
        <v>45443</v>
      </c>
      <c r="E94">
        <v>3400</v>
      </c>
      <c r="F94">
        <v>150</v>
      </c>
      <c r="G94">
        <v>9</v>
      </c>
      <c r="H94" s="3">
        <v>0</v>
      </c>
      <c r="I94" s="3">
        <v>65</v>
      </c>
      <c r="J94" t="s">
        <v>20</v>
      </c>
      <c r="K94" t="str">
        <f t="shared" si="10"/>
        <v>ORGANIC</v>
      </c>
      <c r="L94" s="4" t="str">
        <f t="shared" si="11"/>
        <v/>
      </c>
      <c r="M94" s="4" t="str">
        <f t="shared" si="12"/>
        <v/>
      </c>
      <c r="N94" s="3" t="str">
        <f>IF(OR(H94=0, H94=""), "", (H94/G94))</f>
        <v/>
      </c>
      <c r="O94" s="3" t="str">
        <f>IF(OR(H94=0, H94=""), "", (H94/F94))</f>
        <v/>
      </c>
      <c r="P94" s="4">
        <f t="shared" si="13"/>
        <v>4.4117647058823532E-2</v>
      </c>
      <c r="Q94" s="4">
        <f t="shared" si="14"/>
        <v>0.06</v>
      </c>
    </row>
    <row r="95" spans="1:17" hidden="1"/>
    <row r="96" spans="1:17" hidden="1"/>
    <row r="97" hidden="1"/>
    <row r="98" hidden="1"/>
    <row r="99" hidden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2026-03-21T15:33:38Z</dcterms:created>
  <dcterms:modified xsi:type="dcterms:W3CDTF">2026-03-24T01:33:30Z</dcterms:modified>
  <cp:category/>
  <cp:contentStatus/>
</cp:coreProperties>
</file>